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dopacificgroupms365-my.sharepoint.com/personal/haydon_bawden_indopacificgroup_com_au/Documents/Documents/Castor/"/>
    </mc:Choice>
  </mc:AlternateContent>
  <xr:revisionPtr revIDLastSave="81" documentId="8_{C1BF9B98-97DA-4E9A-9A48-4A041672E591}" xr6:coauthVersionLast="47" xr6:coauthVersionMax="47" xr10:uidLastSave="{14BB4EA3-325A-4747-B5B1-74E4158AB1EE}"/>
  <bookViews>
    <workbookView minimized="1" xWindow="1470" yWindow="1470" windowWidth="21600" windowHeight="12915" activeTab="1" xr2:uid="{00000000-000D-0000-FFFF-FFFF00000000}"/>
  </bookViews>
  <sheets>
    <sheet name="Audits" sheetId="2" r:id="rId1"/>
    <sheet name="Certificates" sheetId="3" r:id="rId2"/>
    <sheet name="Clients" sheetId="4" r:id="rId3"/>
    <sheet name="Contac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" l="1"/>
  <c r="G3" i="3"/>
  <c r="G2" i="3"/>
  <c r="G4" i="3"/>
  <c r="G5" i="3"/>
  <c r="G7" i="3"/>
  <c r="G8" i="3"/>
  <c r="G6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9" i="3"/>
  <c r="G30" i="3"/>
  <c r="G28" i="3"/>
  <c r="G33" i="3"/>
  <c r="G31" i="3"/>
  <c r="G32" i="3"/>
  <c r="G34" i="3"/>
  <c r="G35" i="3"/>
  <c r="G36" i="3"/>
  <c r="G320" i="3"/>
  <c r="G37" i="3"/>
  <c r="G38" i="3"/>
  <c r="G41" i="3"/>
  <c r="G43" i="3"/>
  <c r="G40" i="3"/>
  <c r="G42" i="3"/>
  <c r="G45" i="3"/>
  <c r="G44" i="3"/>
  <c r="G46" i="3"/>
  <c r="G48" i="3"/>
  <c r="G49" i="3"/>
  <c r="G47" i="3"/>
  <c r="G51" i="3"/>
  <c r="G50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473" i="3"/>
  <c r="G68" i="3"/>
  <c r="G69" i="3"/>
  <c r="G70" i="3"/>
  <c r="G71" i="3"/>
  <c r="G72" i="3"/>
  <c r="G73" i="3"/>
  <c r="G74" i="3"/>
  <c r="G75" i="3"/>
  <c r="G76" i="3"/>
  <c r="G321" i="3"/>
  <c r="G77" i="3"/>
  <c r="G78" i="3"/>
  <c r="G79" i="3"/>
  <c r="G80" i="3"/>
  <c r="G81" i="3"/>
  <c r="G84" i="3"/>
  <c r="G85" i="3"/>
  <c r="G86" i="3"/>
  <c r="G87" i="3"/>
  <c r="G82" i="3"/>
  <c r="G89" i="3"/>
  <c r="G90" i="3"/>
  <c r="G91" i="3"/>
  <c r="G92" i="3"/>
  <c r="G93" i="3"/>
  <c r="G88" i="3"/>
  <c r="G94" i="3"/>
  <c r="G99" i="3"/>
  <c r="G95" i="3"/>
  <c r="G96" i="3"/>
  <c r="G100" i="3"/>
  <c r="G83" i="3"/>
  <c r="G97" i="3"/>
  <c r="G147" i="3"/>
  <c r="G98" i="3"/>
  <c r="G101" i="3"/>
  <c r="G102" i="3"/>
  <c r="G104" i="3"/>
  <c r="G114" i="3"/>
  <c r="G115" i="3"/>
  <c r="G103" i="3"/>
  <c r="G105" i="3"/>
  <c r="G107" i="3"/>
  <c r="G108" i="3"/>
  <c r="G106" i="3"/>
  <c r="G109" i="3"/>
  <c r="G110" i="3"/>
  <c r="G111" i="3"/>
  <c r="G112" i="3"/>
  <c r="G113" i="3"/>
  <c r="G125" i="3"/>
  <c r="G116" i="3"/>
  <c r="G134" i="3"/>
  <c r="G128" i="3"/>
  <c r="G118" i="3"/>
  <c r="G322" i="3"/>
  <c r="G119" i="3"/>
  <c r="G124" i="3"/>
  <c r="G130" i="3"/>
  <c r="G132" i="3"/>
  <c r="G120" i="3"/>
  <c r="G121" i="3"/>
  <c r="G122" i="3"/>
  <c r="G117" i="3"/>
  <c r="G126" i="3"/>
  <c r="G127" i="3"/>
  <c r="G129" i="3"/>
  <c r="G123" i="3"/>
  <c r="G131" i="3"/>
  <c r="G133" i="3"/>
  <c r="G141" i="3"/>
  <c r="G135" i="3"/>
  <c r="G136" i="3"/>
  <c r="G137" i="3"/>
  <c r="G142" i="3"/>
  <c r="G138" i="3"/>
  <c r="G139" i="3"/>
  <c r="G146" i="3"/>
  <c r="G143" i="3"/>
  <c r="G144" i="3"/>
  <c r="G145" i="3"/>
  <c r="G140" i="3"/>
  <c r="G148" i="3"/>
  <c r="G149" i="3"/>
  <c r="G241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70" i="3"/>
  <c r="G165" i="3"/>
  <c r="G177" i="3"/>
  <c r="G167" i="3"/>
  <c r="G166" i="3"/>
  <c r="G176" i="3"/>
  <c r="G168" i="3"/>
  <c r="G192" i="3"/>
  <c r="G169" i="3"/>
  <c r="G171" i="3"/>
  <c r="G182" i="3"/>
  <c r="G183" i="3"/>
  <c r="G172" i="3"/>
  <c r="G190" i="3"/>
  <c r="G173" i="3"/>
  <c r="G174" i="3"/>
  <c r="G178" i="3"/>
  <c r="G179" i="3"/>
  <c r="G175" i="3"/>
  <c r="G180" i="3"/>
  <c r="G184" i="3"/>
  <c r="G181" i="3"/>
  <c r="G185" i="3"/>
  <c r="G186" i="3"/>
  <c r="G187" i="3"/>
  <c r="G188" i="3"/>
  <c r="G189" i="3"/>
  <c r="G193" i="3"/>
  <c r="G194" i="3"/>
  <c r="G191" i="3"/>
  <c r="G195" i="3"/>
  <c r="G196" i="3"/>
  <c r="G197" i="3"/>
  <c r="G198" i="3"/>
  <c r="G199" i="3"/>
  <c r="G200" i="3"/>
  <c r="G201" i="3"/>
  <c r="G202" i="3"/>
  <c r="G204" i="3"/>
  <c r="G203" i="3"/>
  <c r="G206" i="3"/>
  <c r="G207" i="3"/>
  <c r="G208" i="3"/>
  <c r="G209" i="3"/>
  <c r="G210" i="3"/>
  <c r="G211" i="3"/>
  <c r="G212" i="3"/>
  <c r="G213" i="3"/>
  <c r="G214" i="3"/>
  <c r="G215" i="3"/>
  <c r="G216" i="3"/>
  <c r="G221" i="3"/>
  <c r="G217" i="3"/>
  <c r="G218" i="3"/>
  <c r="G219" i="3"/>
  <c r="G220" i="3"/>
  <c r="G222" i="3"/>
  <c r="G223" i="3"/>
  <c r="G227" i="3"/>
  <c r="G225" i="3"/>
  <c r="G233" i="3"/>
  <c r="G226" i="3"/>
  <c r="G224" i="3"/>
  <c r="G228" i="3"/>
  <c r="G229" i="3"/>
  <c r="G230" i="3"/>
  <c r="G232" i="3"/>
  <c r="G243" i="3"/>
  <c r="G231" i="3"/>
  <c r="G234" i="3"/>
  <c r="G236" i="3"/>
  <c r="G235" i="3"/>
  <c r="G237" i="3"/>
  <c r="G239" i="3"/>
  <c r="G238" i="3"/>
  <c r="G242" i="3"/>
  <c r="G240" i="3"/>
  <c r="G244" i="3"/>
  <c r="G245" i="3"/>
  <c r="G246" i="3"/>
  <c r="G248" i="3"/>
  <c r="G328" i="3"/>
  <c r="G247" i="3"/>
  <c r="G251" i="3"/>
  <c r="G254" i="3"/>
  <c r="G252" i="3"/>
  <c r="G255" i="3"/>
  <c r="G266" i="3"/>
  <c r="G253" i="3"/>
  <c r="G256" i="3"/>
  <c r="G257" i="3"/>
  <c r="G271" i="3"/>
  <c r="G249" i="3"/>
  <c r="G250" i="3"/>
  <c r="G318" i="3"/>
  <c r="G319" i="3"/>
  <c r="G258" i="3"/>
  <c r="G259" i="3"/>
  <c r="G260" i="3"/>
  <c r="G261" i="3"/>
  <c r="G262" i="3"/>
  <c r="G265" i="3"/>
  <c r="G263" i="3"/>
  <c r="G264" i="3"/>
  <c r="G267" i="3"/>
  <c r="G269" i="3"/>
  <c r="G270" i="3"/>
  <c r="G273" i="3"/>
  <c r="G268" i="3"/>
  <c r="G274" i="3"/>
  <c r="G272" i="3"/>
  <c r="G296" i="3"/>
  <c r="G277" i="3"/>
  <c r="G303" i="3"/>
  <c r="G279" i="3"/>
  <c r="G280" i="3"/>
  <c r="G275" i="3"/>
  <c r="G283" i="3"/>
  <c r="G284" i="3"/>
  <c r="G286" i="3"/>
  <c r="G278" i="3"/>
  <c r="G281" i="3"/>
  <c r="G282" i="3"/>
  <c r="G285" i="3"/>
  <c r="G290" i="3"/>
  <c r="G205" i="3"/>
  <c r="G289" i="3"/>
  <c r="G287" i="3"/>
  <c r="G288" i="3"/>
  <c r="G292" i="3"/>
  <c r="G291" i="3"/>
  <c r="G293" i="3"/>
  <c r="G308" i="3"/>
  <c r="G377" i="3"/>
  <c r="G276" i="3"/>
  <c r="G294" i="3"/>
  <c r="G295" i="3"/>
  <c r="G313" i="3"/>
  <c r="G297" i="3"/>
  <c r="G299" i="3"/>
  <c r="G301" i="3"/>
  <c r="G302" i="3"/>
  <c r="G310" i="3"/>
  <c r="G300" i="3"/>
  <c r="G304" i="3"/>
  <c r="G306" i="3"/>
  <c r="G298" i="3"/>
  <c r="G307" i="3"/>
  <c r="G326" i="3"/>
  <c r="G309" i="3"/>
  <c r="G311" i="3"/>
  <c r="G312" i="3"/>
  <c r="G305" i="3"/>
  <c r="G314" i="3"/>
  <c r="G315" i="3"/>
  <c r="G316" i="3"/>
  <c r="G349" i="3"/>
  <c r="G324" i="3"/>
  <c r="G327" i="3"/>
  <c r="G323" i="3"/>
  <c r="G331" i="3"/>
  <c r="G335" i="3"/>
  <c r="G347" i="3"/>
  <c r="G414" i="3"/>
  <c r="G329" i="3"/>
  <c r="G317" i="3"/>
  <c r="G333" i="3"/>
  <c r="G334" i="3"/>
  <c r="G360" i="3"/>
  <c r="G332" i="3"/>
  <c r="G330" i="3"/>
  <c r="G325" i="3"/>
  <c r="G336" i="3"/>
  <c r="G338" i="3"/>
  <c r="G337" i="3"/>
  <c r="G348" i="3"/>
  <c r="G341" i="3"/>
  <c r="G340" i="3"/>
  <c r="G345" i="3"/>
  <c r="G346" i="3"/>
  <c r="G344" i="3"/>
  <c r="G342" i="3"/>
  <c r="G350" i="3"/>
  <c r="G382" i="3"/>
  <c r="G343" i="3"/>
  <c r="G371" i="3"/>
  <c r="G354" i="3"/>
  <c r="G355" i="3"/>
  <c r="G359" i="3"/>
  <c r="G358" i="3"/>
  <c r="G351" i="3"/>
  <c r="G352" i="3"/>
  <c r="G372" i="3"/>
  <c r="G361" i="3"/>
  <c r="G362" i="3"/>
  <c r="G366" i="3"/>
  <c r="G367" i="3"/>
  <c r="G353" i="3"/>
  <c r="G356" i="3"/>
  <c r="G357" i="3"/>
  <c r="G364" i="3"/>
  <c r="G485" i="3"/>
  <c r="G370" i="3"/>
  <c r="G368" i="3"/>
  <c r="G369" i="3"/>
  <c r="G373" i="3"/>
  <c r="G375" i="3"/>
  <c r="G378" i="3"/>
  <c r="G379" i="3"/>
  <c r="G391" i="3"/>
  <c r="G363" i="3"/>
  <c r="G365" i="3"/>
  <c r="G374" i="3"/>
  <c r="G380" i="3"/>
  <c r="G384" i="3"/>
  <c r="G376" i="3"/>
  <c r="G381" i="3"/>
  <c r="G383" i="3"/>
  <c r="G389" i="3"/>
  <c r="G388" i="3"/>
  <c r="G395" i="3"/>
  <c r="G394" i="3"/>
  <c r="G396" i="3"/>
  <c r="G386" i="3"/>
  <c r="G390" i="3"/>
  <c r="G392" i="3"/>
  <c r="G393" i="3"/>
  <c r="G401" i="3"/>
  <c r="G385" i="3"/>
  <c r="G387" i="3"/>
  <c r="G405" i="3"/>
  <c r="G397" i="3"/>
  <c r="G400" i="3"/>
  <c r="G412" i="3"/>
  <c r="G398" i="3"/>
  <c r="G404" i="3"/>
  <c r="G421" i="3"/>
  <c r="G402" i="3"/>
  <c r="G407" i="3"/>
  <c r="G403" i="3"/>
  <c r="G399" i="3"/>
  <c r="G413" i="3"/>
  <c r="G406" i="3"/>
  <c r="G410" i="3"/>
  <c r="G415" i="3"/>
  <c r="G409" i="3"/>
  <c r="G411" i="3"/>
  <c r="G408" i="3"/>
  <c r="G420" i="3"/>
  <c r="G501" i="3"/>
  <c r="G419" i="3"/>
  <c r="G423" i="3"/>
  <c r="G418" i="3"/>
  <c r="G416" i="3"/>
  <c r="G422" i="3"/>
  <c r="G417" i="3"/>
  <c r="G427" i="3"/>
  <c r="G426" i="3"/>
  <c r="G428" i="3"/>
  <c r="G424" i="3"/>
  <c r="G429" i="3"/>
  <c r="G425" i="3"/>
  <c r="G431" i="3"/>
  <c r="G433" i="3"/>
  <c r="G432" i="3"/>
  <c r="G435" i="3"/>
  <c r="G430" i="3"/>
  <c r="G439" i="3"/>
  <c r="G434" i="3"/>
  <c r="G438" i="3"/>
  <c r="G441" i="3"/>
  <c r="G445" i="3"/>
  <c r="G436" i="3"/>
  <c r="G444" i="3"/>
  <c r="G440" i="3"/>
  <c r="G437" i="3"/>
  <c r="G442" i="3"/>
  <c r="G443" i="3"/>
  <c r="G450" i="3"/>
  <c r="G447" i="3"/>
  <c r="G448" i="3"/>
  <c r="G339" i="3"/>
  <c r="G449" i="3"/>
  <c r="G446" i="3"/>
  <c r="G451" i="3"/>
  <c r="G453" i="3"/>
  <c r="G452" i="3"/>
  <c r="G454" i="3"/>
  <c r="G455" i="3"/>
  <c r="G457" i="3"/>
  <c r="G456" i="3"/>
  <c r="G459" i="3"/>
  <c r="G462" i="3"/>
  <c r="G461" i="3"/>
  <c r="G458" i="3"/>
  <c r="G466" i="3"/>
  <c r="G467" i="3"/>
  <c r="G465" i="3"/>
  <c r="G460" i="3"/>
  <c r="G469" i="3"/>
  <c r="G470" i="3"/>
  <c r="G463" i="3"/>
  <c r="G464" i="3"/>
  <c r="G468" i="3"/>
  <c r="G471" i="3"/>
  <c r="G477" i="3"/>
  <c r="G472" i="3"/>
  <c r="G478" i="3"/>
  <c r="G479" i="3"/>
  <c r="G483" i="3"/>
  <c r="G495" i="3"/>
  <c r="G484" i="3"/>
  <c r="G482" i="3"/>
  <c r="G490" i="3"/>
  <c r="G488" i="3"/>
  <c r="G475" i="3"/>
  <c r="G486" i="3"/>
  <c r="G491" i="3"/>
  <c r="G476" i="3"/>
  <c r="G489" i="3"/>
  <c r="G487" i="3"/>
  <c r="G474" i="3"/>
  <c r="G493" i="3"/>
  <c r="G492" i="3"/>
  <c r="G480" i="3"/>
  <c r="G481" i="3"/>
  <c r="G496" i="3"/>
  <c r="G497" i="3"/>
  <c r="G498" i="3"/>
  <c r="G494" i="3"/>
  <c r="G514" i="3"/>
  <c r="G499" i="3"/>
  <c r="G507" i="3"/>
  <c r="G502" i="3"/>
  <c r="G509" i="3"/>
  <c r="G503" i="3"/>
  <c r="G506" i="3"/>
  <c r="G500" i="3"/>
  <c r="G505" i="3"/>
  <c r="G504" i="3"/>
  <c r="G516" i="3"/>
  <c r="G510" i="3"/>
  <c r="G508" i="3"/>
  <c r="G512" i="3"/>
  <c r="G511" i="3"/>
  <c r="G513" i="3"/>
  <c r="G517" i="3"/>
  <c r="G515" i="3"/>
  <c r="G508" i="2"/>
  <c r="G509" i="2"/>
  <c r="G510" i="2"/>
  <c r="G511" i="2"/>
  <c r="G512" i="2"/>
  <c r="G513" i="2"/>
  <c r="G514" i="2"/>
  <c r="G515" i="2"/>
  <c r="G516" i="2"/>
  <c r="G517" i="2"/>
  <c r="I508" i="3"/>
  <c r="I509" i="3"/>
  <c r="I510" i="3"/>
  <c r="I511" i="3"/>
  <c r="I512" i="3"/>
  <c r="I513" i="3"/>
  <c r="I514" i="3"/>
  <c r="I515" i="3"/>
  <c r="I516" i="3"/>
  <c r="I517" i="3"/>
  <c r="H508" i="3"/>
  <c r="H509" i="3"/>
  <c r="H510" i="3"/>
  <c r="H511" i="3"/>
  <c r="H512" i="3"/>
  <c r="H513" i="3"/>
  <c r="H514" i="3"/>
  <c r="H515" i="3"/>
  <c r="H516" i="3"/>
  <c r="H517" i="3"/>
  <c r="J470" i="3"/>
  <c r="I470" i="3" s="1"/>
  <c r="H470" i="3"/>
  <c r="J496" i="3"/>
  <c r="I496" i="3" s="1"/>
  <c r="H496" i="3"/>
  <c r="J437" i="3"/>
  <c r="I437" i="3" s="1"/>
  <c r="H437" i="3"/>
  <c r="J479" i="3"/>
  <c r="I479" i="3" s="1"/>
  <c r="H479" i="3"/>
  <c r="J432" i="3"/>
  <c r="I432" i="3" s="1"/>
  <c r="H432" i="3"/>
  <c r="J448" i="3"/>
  <c r="I448" i="3" s="1"/>
  <c r="H448" i="3"/>
  <c r="J419" i="3"/>
  <c r="I419" i="3" s="1"/>
  <c r="H419" i="3"/>
  <c r="J497" i="3"/>
  <c r="I497" i="3" s="1"/>
  <c r="H497" i="3"/>
  <c r="J476" i="3"/>
  <c r="I476" i="3" s="1"/>
  <c r="H476" i="3"/>
  <c r="J493" i="3"/>
  <c r="I493" i="3" s="1"/>
  <c r="H493" i="3"/>
  <c r="J339" i="3"/>
  <c r="I339" i="3" s="1"/>
  <c r="H339" i="3"/>
  <c r="J465" i="3"/>
  <c r="I465" i="3" s="1"/>
  <c r="H465" i="3"/>
  <c r="J505" i="3"/>
  <c r="I505" i="3" s="1"/>
  <c r="H505" i="3"/>
  <c r="J424" i="3"/>
  <c r="I424" i="3" s="1"/>
  <c r="H424" i="3"/>
  <c r="J506" i="3"/>
  <c r="I506" i="3" s="1"/>
  <c r="H506" i="3"/>
  <c r="J503" i="3"/>
  <c r="I503" i="3" s="1"/>
  <c r="H503" i="3"/>
  <c r="J441" i="3"/>
  <c r="I441" i="3" s="1"/>
  <c r="H441" i="3"/>
  <c r="J426" i="3"/>
  <c r="I426" i="3" s="1"/>
  <c r="H426" i="3"/>
  <c r="J487" i="3"/>
  <c r="I487" i="3" s="1"/>
  <c r="H487" i="3"/>
  <c r="J436" i="3"/>
  <c r="I436" i="3" s="1"/>
  <c r="H436" i="3"/>
  <c r="J488" i="3"/>
  <c r="I488" i="3" s="1"/>
  <c r="H488" i="3"/>
  <c r="J467" i="3"/>
  <c r="I467" i="3" s="1"/>
  <c r="H467" i="3"/>
  <c r="J430" i="3"/>
  <c r="I430" i="3" s="1"/>
  <c r="H430" i="3"/>
  <c r="J431" i="3"/>
  <c r="I431" i="3" s="1"/>
  <c r="H431" i="3"/>
  <c r="J484" i="3"/>
  <c r="I484" i="3" s="1"/>
  <c r="H484" i="3"/>
  <c r="J450" i="3"/>
  <c r="I450" i="3" s="1"/>
  <c r="H450" i="3"/>
  <c r="J418" i="3"/>
  <c r="I418" i="3" s="1"/>
  <c r="H418" i="3"/>
  <c r="J468" i="3"/>
  <c r="I468" i="3" s="1"/>
  <c r="H468" i="3"/>
  <c r="J459" i="3"/>
  <c r="I459" i="3" s="1"/>
  <c r="H459" i="3"/>
  <c r="J490" i="3"/>
  <c r="I490" i="3" s="1"/>
  <c r="H490" i="3"/>
  <c r="J440" i="3"/>
  <c r="I440" i="3" s="1"/>
  <c r="H440" i="3"/>
  <c r="J451" i="3"/>
  <c r="I451" i="3" s="1"/>
  <c r="H451" i="3"/>
  <c r="J457" i="3"/>
  <c r="I457" i="3" s="1"/>
  <c r="H457" i="3"/>
  <c r="J499" i="3"/>
  <c r="I499" i="3" s="1"/>
  <c r="H499" i="3"/>
  <c r="J492" i="3"/>
  <c r="I492" i="3" s="1"/>
  <c r="H492" i="3"/>
  <c r="J416" i="3"/>
  <c r="I416" i="3" s="1"/>
  <c r="H416" i="3"/>
  <c r="J445" i="3"/>
  <c r="I445" i="3" s="1"/>
  <c r="H445" i="3"/>
  <c r="J494" i="3"/>
  <c r="I494" i="3" s="1"/>
  <c r="H494" i="3"/>
  <c r="J462" i="3"/>
  <c r="I462" i="3" s="1"/>
  <c r="H462" i="3"/>
  <c r="J486" i="3"/>
  <c r="I486" i="3" s="1"/>
  <c r="H486" i="3"/>
  <c r="J471" i="3"/>
  <c r="I471" i="3" s="1"/>
  <c r="H471" i="3"/>
  <c r="J456" i="3"/>
  <c r="I456" i="3" s="1"/>
  <c r="H456" i="3"/>
  <c r="J455" i="3"/>
  <c r="I455" i="3" s="1"/>
  <c r="H455" i="3"/>
  <c r="J434" i="3"/>
  <c r="I434" i="3" s="1"/>
  <c r="H434" i="3"/>
  <c r="J438" i="3"/>
  <c r="I438" i="3" s="1"/>
  <c r="H438" i="3"/>
  <c r="J429" i="3"/>
  <c r="I429" i="3" s="1"/>
  <c r="H429" i="3"/>
  <c r="J480" i="3"/>
  <c r="I480" i="3" s="1"/>
  <c r="H480" i="3"/>
  <c r="J481" i="3"/>
  <c r="I481" i="3" s="1"/>
  <c r="H481" i="3"/>
  <c r="J504" i="3"/>
  <c r="I504" i="3" s="1"/>
  <c r="H504" i="3"/>
  <c r="J453" i="3"/>
  <c r="I453" i="3" s="1"/>
  <c r="H453" i="3"/>
  <c r="J452" i="3"/>
  <c r="I452" i="3" s="1"/>
  <c r="H452" i="3"/>
  <c r="J507" i="3"/>
  <c r="I507" i="3" s="1"/>
  <c r="H507" i="3"/>
  <c r="J477" i="3"/>
  <c r="I477" i="3" s="1"/>
  <c r="H477" i="3"/>
  <c r="J472" i="3"/>
  <c r="I472" i="3" s="1"/>
  <c r="H472" i="3"/>
  <c r="J458" i="3"/>
  <c r="I458" i="3" s="1"/>
  <c r="H458" i="3"/>
  <c r="J425" i="3"/>
  <c r="I425" i="3" s="1"/>
  <c r="H425" i="3"/>
  <c r="J498" i="3"/>
  <c r="I498" i="3" s="1"/>
  <c r="H498" i="3"/>
  <c r="J428" i="3"/>
  <c r="I428" i="3" s="1"/>
  <c r="H428" i="3"/>
  <c r="J475" i="3"/>
  <c r="I475" i="3" s="1"/>
  <c r="H475" i="3"/>
  <c r="J502" i="3"/>
  <c r="I502" i="3" s="1"/>
  <c r="H502" i="3"/>
  <c r="J442" i="3"/>
  <c r="I442" i="3" s="1"/>
  <c r="H442" i="3"/>
  <c r="J417" i="3"/>
  <c r="I417" i="3" s="1"/>
  <c r="H417" i="3"/>
  <c r="J439" i="3"/>
  <c r="I439" i="3" s="1"/>
  <c r="H439" i="3"/>
  <c r="J478" i="3"/>
  <c r="I478" i="3" s="1"/>
  <c r="H478" i="3"/>
  <c r="J482" i="3"/>
  <c r="I482" i="3" s="1"/>
  <c r="H482" i="3"/>
  <c r="J474" i="3"/>
  <c r="I474" i="3" s="1"/>
  <c r="H474" i="3"/>
  <c r="J443" i="3"/>
  <c r="I443" i="3" s="1"/>
  <c r="H443" i="3"/>
  <c r="J500" i="3"/>
  <c r="I500" i="3" s="1"/>
  <c r="H500" i="3"/>
  <c r="J495" i="3"/>
  <c r="I495" i="3" s="1"/>
  <c r="H495" i="3"/>
  <c r="J491" i="3"/>
  <c r="I491" i="3" s="1"/>
  <c r="H491" i="3"/>
  <c r="J433" i="3"/>
  <c r="I433" i="3" s="1"/>
  <c r="H433" i="3"/>
  <c r="J444" i="3"/>
  <c r="I444" i="3" s="1"/>
  <c r="H444" i="3"/>
  <c r="J454" i="3"/>
  <c r="I454" i="3" s="1"/>
  <c r="H454" i="3"/>
  <c r="J427" i="3"/>
  <c r="I427" i="3" s="1"/>
  <c r="H427" i="3"/>
  <c r="J449" i="3"/>
  <c r="I449" i="3" s="1"/>
  <c r="H449" i="3"/>
  <c r="J461" i="3"/>
  <c r="I461" i="3" s="1"/>
  <c r="H461" i="3"/>
  <c r="J501" i="3"/>
  <c r="I501" i="3" s="1"/>
  <c r="H501" i="3"/>
  <c r="J483" i="3"/>
  <c r="I483" i="3" s="1"/>
  <c r="H483" i="3"/>
  <c r="J447" i="3"/>
  <c r="I447" i="3" s="1"/>
  <c r="H447" i="3"/>
  <c r="J435" i="3"/>
  <c r="I435" i="3" s="1"/>
  <c r="H435" i="3"/>
  <c r="J423" i="3"/>
  <c r="I423" i="3" s="1"/>
  <c r="H423" i="3"/>
  <c r="J489" i="3"/>
  <c r="I489" i="3" s="1"/>
  <c r="H489" i="3"/>
  <c r="J460" i="3"/>
  <c r="I460" i="3" s="1"/>
  <c r="H460" i="3"/>
  <c r="J464" i="3"/>
  <c r="I464" i="3" s="1"/>
  <c r="H464" i="3"/>
  <c r="J463" i="3"/>
  <c r="I463" i="3" s="1"/>
  <c r="H463" i="3"/>
  <c r="J469" i="3"/>
  <c r="I469" i="3" s="1"/>
  <c r="H469" i="3"/>
  <c r="J466" i="3"/>
  <c r="I466" i="3" s="1"/>
  <c r="H466" i="3"/>
  <c r="J422" i="3"/>
  <c r="I422" i="3" s="1"/>
  <c r="H422" i="3"/>
  <c r="J446" i="3"/>
  <c r="I446" i="3" s="1"/>
  <c r="H446" i="3"/>
  <c r="J367" i="3"/>
  <c r="I367" i="3" s="1"/>
  <c r="H367" i="3"/>
  <c r="J379" i="3"/>
  <c r="I379" i="3" s="1"/>
  <c r="H379" i="3"/>
  <c r="J401" i="3"/>
  <c r="I401" i="3" s="1"/>
  <c r="H401" i="3"/>
  <c r="J362" i="3"/>
  <c r="I362" i="3" s="1"/>
  <c r="H362" i="3"/>
  <c r="J330" i="3"/>
  <c r="I330" i="3" s="1"/>
  <c r="H330" i="3"/>
  <c r="J369" i="3"/>
  <c r="I369" i="3" s="1"/>
  <c r="H369" i="3"/>
  <c r="J324" i="3"/>
  <c r="I324" i="3" s="1"/>
  <c r="H324" i="3"/>
  <c r="J337" i="3"/>
  <c r="I337" i="3" s="1"/>
  <c r="H337" i="3"/>
  <c r="J348" i="3"/>
  <c r="I348" i="3" s="1"/>
  <c r="H348" i="3"/>
  <c r="J301" i="3"/>
  <c r="I301" i="3" s="1"/>
  <c r="H301" i="3"/>
  <c r="J376" i="3"/>
  <c r="I376" i="3" s="1"/>
  <c r="H376" i="3"/>
  <c r="J395" i="3"/>
  <c r="I395" i="3" s="1"/>
  <c r="H395" i="3"/>
  <c r="J399" i="3"/>
  <c r="I399" i="3" s="1"/>
  <c r="H399" i="3"/>
  <c r="J311" i="3"/>
  <c r="I311" i="3" s="1"/>
  <c r="H311" i="3"/>
  <c r="J312" i="3"/>
  <c r="I312" i="3" s="1"/>
  <c r="H312" i="3"/>
  <c r="J410" i="3"/>
  <c r="I410" i="3" s="1"/>
  <c r="H410" i="3"/>
  <c r="J402" i="3"/>
  <c r="I402" i="3" s="1"/>
  <c r="H402" i="3"/>
  <c r="J335" i="3"/>
  <c r="I335" i="3" s="1"/>
  <c r="H335" i="3"/>
  <c r="J421" i="3"/>
  <c r="I421" i="3" s="1"/>
  <c r="H421" i="3"/>
  <c r="J309" i="3"/>
  <c r="I309" i="3" s="1"/>
  <c r="H309" i="3"/>
  <c r="J302" i="3"/>
  <c r="I302" i="3" s="1"/>
  <c r="H302" i="3"/>
  <c r="J361" i="3"/>
  <c r="I361" i="3" s="1"/>
  <c r="H361" i="3"/>
  <c r="J366" i="3"/>
  <c r="I366" i="3" s="1"/>
  <c r="H366" i="3"/>
  <c r="J398" i="3"/>
  <c r="I398" i="3" s="1"/>
  <c r="H398" i="3"/>
  <c r="J389" i="3"/>
  <c r="I389" i="3" s="1"/>
  <c r="H389" i="3"/>
  <c r="J329" i="3"/>
  <c r="I329" i="3" s="1"/>
  <c r="H329" i="3"/>
  <c r="J374" i="3"/>
  <c r="I374" i="3" s="1"/>
  <c r="H374" i="3"/>
  <c r="J323" i="3"/>
  <c r="I323" i="3" s="1"/>
  <c r="H323" i="3"/>
  <c r="J316" i="3"/>
  <c r="I316" i="3" s="1"/>
  <c r="H316" i="3"/>
  <c r="J405" i="3"/>
  <c r="I405" i="3" s="1"/>
  <c r="H405" i="3"/>
  <c r="J412" i="3"/>
  <c r="I412" i="3" s="1"/>
  <c r="H412" i="3"/>
  <c r="J314" i="3"/>
  <c r="I314" i="3" s="1"/>
  <c r="H314" i="3"/>
  <c r="J338" i="3"/>
  <c r="I338" i="3" s="1"/>
  <c r="H338" i="3"/>
  <c r="J300" i="3"/>
  <c r="I300" i="3" s="1"/>
  <c r="H300" i="3"/>
  <c r="J406" i="3"/>
  <c r="I406" i="3" s="1"/>
  <c r="H406" i="3"/>
  <c r="J356" i="3"/>
  <c r="I356" i="3" s="1"/>
  <c r="H356" i="3"/>
  <c r="J415" i="3"/>
  <c r="I415" i="3" s="1"/>
  <c r="H415" i="3"/>
  <c r="J351" i="3"/>
  <c r="I351" i="3" s="1"/>
  <c r="H351" i="3"/>
  <c r="J354" i="3"/>
  <c r="I354" i="3" s="1"/>
  <c r="H354" i="3"/>
  <c r="J365" i="3"/>
  <c r="I365" i="3" s="1"/>
  <c r="H365" i="3"/>
  <c r="J307" i="3"/>
  <c r="I307" i="3" s="1"/>
  <c r="H307" i="3"/>
  <c r="J332" i="3"/>
  <c r="I332" i="3" s="1"/>
  <c r="H332" i="3"/>
  <c r="J341" i="3"/>
  <c r="I341" i="3" s="1"/>
  <c r="H341" i="3"/>
  <c r="J343" i="3"/>
  <c r="I343" i="3" s="1"/>
  <c r="H343" i="3"/>
  <c r="J397" i="3"/>
  <c r="I397" i="3" s="1"/>
  <c r="H397" i="3"/>
  <c r="J394" i="3"/>
  <c r="I394" i="3" s="1"/>
  <c r="H394" i="3"/>
  <c r="J304" i="3"/>
  <c r="I304" i="3" s="1"/>
  <c r="H304" i="3"/>
  <c r="J347" i="3"/>
  <c r="I347" i="3" s="1"/>
  <c r="H347" i="3"/>
  <c r="J414" i="3"/>
  <c r="I414" i="3" s="1"/>
  <c r="H414" i="3"/>
  <c r="J387" i="3"/>
  <c r="I387" i="3" s="1"/>
  <c r="H387" i="3"/>
  <c r="J391" i="3"/>
  <c r="I391" i="3" s="1"/>
  <c r="H391" i="3"/>
  <c r="J383" i="3"/>
  <c r="I383" i="3" s="1"/>
  <c r="H383" i="3"/>
  <c r="J355" i="3"/>
  <c r="I355" i="3" s="1"/>
  <c r="H355" i="3"/>
  <c r="J331" i="3"/>
  <c r="I331" i="3" s="1"/>
  <c r="H331" i="3"/>
  <c r="J396" i="3"/>
  <c r="I396" i="3" s="1"/>
  <c r="H396" i="3"/>
  <c r="J392" i="3"/>
  <c r="I392" i="3" s="1"/>
  <c r="H392" i="3"/>
  <c r="J393" i="3"/>
  <c r="I393" i="3" s="1"/>
  <c r="H393" i="3"/>
  <c r="J413" i="3"/>
  <c r="I413" i="3" s="1"/>
  <c r="H413" i="3"/>
  <c r="J317" i="3"/>
  <c r="I317" i="3" s="1"/>
  <c r="H317" i="3"/>
  <c r="J333" i="3"/>
  <c r="I333" i="3" s="1"/>
  <c r="H333" i="3"/>
  <c r="J342" i="3"/>
  <c r="I342" i="3" s="1"/>
  <c r="H342" i="3"/>
  <c r="J400" i="3"/>
  <c r="I400" i="3" s="1"/>
  <c r="H400" i="3"/>
  <c r="J370" i="3"/>
  <c r="I370" i="3" s="1"/>
  <c r="H370" i="3"/>
  <c r="J375" i="3"/>
  <c r="I375" i="3" s="1"/>
  <c r="H375" i="3"/>
  <c r="J334" i="3"/>
  <c r="I334" i="3" s="1"/>
  <c r="H334" i="3"/>
  <c r="J409" i="3"/>
  <c r="I409" i="3" s="1"/>
  <c r="H409" i="3"/>
  <c r="J411" i="3"/>
  <c r="I411" i="3" s="1"/>
  <c r="H411" i="3"/>
  <c r="J358" i="3"/>
  <c r="I358" i="3" s="1"/>
  <c r="H358" i="3"/>
  <c r="J305" i="3"/>
  <c r="I305" i="3" s="1"/>
  <c r="H305" i="3"/>
  <c r="J408" i="3"/>
  <c r="I408" i="3" s="1"/>
  <c r="H408" i="3"/>
  <c r="J385" i="3"/>
  <c r="I385" i="3" s="1"/>
  <c r="H385" i="3"/>
  <c r="J390" i="3"/>
  <c r="I390" i="3" s="1"/>
  <c r="H390" i="3"/>
  <c r="J380" i="3"/>
  <c r="I380" i="3" s="1"/>
  <c r="H380" i="3"/>
  <c r="J404" i="3"/>
  <c r="I404" i="3" s="1"/>
  <c r="H404" i="3"/>
  <c r="J364" i="3"/>
  <c r="I364" i="3" s="1"/>
  <c r="H364" i="3"/>
  <c r="J485" i="3"/>
  <c r="I485" i="3" s="1"/>
  <c r="H485" i="3"/>
  <c r="J325" i="3"/>
  <c r="I325" i="3" s="1"/>
  <c r="H325" i="3"/>
  <c r="J298" i="3"/>
  <c r="I298" i="3" s="1"/>
  <c r="H298" i="3"/>
  <c r="J368" i="3"/>
  <c r="I368" i="3" s="1"/>
  <c r="H368" i="3"/>
  <c r="J363" i="3"/>
  <c r="I363" i="3" s="1"/>
  <c r="H363" i="3"/>
  <c r="J388" i="3"/>
  <c r="I388" i="3" s="1"/>
  <c r="H388" i="3"/>
  <c r="J336" i="3"/>
  <c r="I336" i="3" s="1"/>
  <c r="H336" i="3"/>
  <c r="J346" i="3"/>
  <c r="I346" i="3" s="1"/>
  <c r="H346" i="3"/>
  <c r="J403" i="3"/>
  <c r="I403" i="3" s="1"/>
  <c r="H403" i="3"/>
  <c r="J378" i="3"/>
  <c r="I378" i="3" s="1"/>
  <c r="H378" i="3"/>
  <c r="J371" i="3"/>
  <c r="I371" i="3" s="1"/>
  <c r="H371" i="3"/>
  <c r="J384" i="3"/>
  <c r="I384" i="3" s="1"/>
  <c r="H384" i="3"/>
  <c r="J315" i="3"/>
  <c r="I315" i="3" s="1"/>
  <c r="H315" i="3"/>
  <c r="J360" i="3"/>
  <c r="I360" i="3" s="1"/>
  <c r="H360" i="3"/>
  <c r="J326" i="3"/>
  <c r="I326" i="3" s="1"/>
  <c r="H326" i="3"/>
  <c r="J340" i="3"/>
  <c r="I340" i="3" s="1"/>
  <c r="H340" i="3"/>
  <c r="J359" i="3"/>
  <c r="I359" i="3" s="1"/>
  <c r="H359" i="3"/>
  <c r="J299" i="3"/>
  <c r="I299" i="3" s="1"/>
  <c r="H299" i="3"/>
  <c r="J373" i="3"/>
  <c r="I373" i="3" s="1"/>
  <c r="H373" i="3"/>
  <c r="J327" i="3"/>
  <c r="I327" i="3" s="1"/>
  <c r="H327" i="3"/>
  <c r="J310" i="3"/>
  <c r="I310" i="3" s="1"/>
  <c r="H310" i="3"/>
  <c r="J381" i="3"/>
  <c r="I381" i="3" s="1"/>
  <c r="H381" i="3"/>
  <c r="J352" i="3"/>
  <c r="I352" i="3" s="1"/>
  <c r="H352" i="3"/>
  <c r="J372" i="3"/>
  <c r="I372" i="3" s="1"/>
  <c r="H372" i="3"/>
  <c r="J353" i="3"/>
  <c r="I353" i="3" s="1"/>
  <c r="H353" i="3"/>
  <c r="J349" i="3"/>
  <c r="I349" i="3" s="1"/>
  <c r="H349" i="3"/>
  <c r="J357" i="3"/>
  <c r="I357" i="3" s="1"/>
  <c r="H357" i="3"/>
  <c r="J306" i="3"/>
  <c r="I306" i="3" s="1"/>
  <c r="H306" i="3"/>
  <c r="J344" i="3"/>
  <c r="I344" i="3" s="1"/>
  <c r="H344" i="3"/>
  <c r="J420" i="3"/>
  <c r="I420" i="3" s="1"/>
  <c r="H420" i="3"/>
  <c r="J350" i="3"/>
  <c r="I350" i="3" s="1"/>
  <c r="H350" i="3"/>
  <c r="J382" i="3"/>
  <c r="I382" i="3" s="1"/>
  <c r="H382" i="3"/>
  <c r="J386" i="3"/>
  <c r="I386" i="3" s="1"/>
  <c r="H386" i="3"/>
  <c r="J345" i="3"/>
  <c r="I345" i="3" s="1"/>
  <c r="H345" i="3"/>
  <c r="J407" i="3"/>
  <c r="I407" i="3" s="1"/>
  <c r="H407" i="3"/>
  <c r="J319" i="3"/>
  <c r="I319" i="3" s="1"/>
  <c r="H319" i="3"/>
  <c r="J279" i="3"/>
  <c r="I279" i="3" s="1"/>
  <c r="H279" i="3"/>
  <c r="J250" i="3"/>
  <c r="I250" i="3" s="1"/>
  <c r="H250" i="3"/>
  <c r="J261" i="3"/>
  <c r="I261" i="3" s="1"/>
  <c r="H261" i="3"/>
  <c r="J235" i="3"/>
  <c r="I235" i="3" s="1"/>
  <c r="H235" i="3"/>
  <c r="J264" i="3"/>
  <c r="I264" i="3" s="1"/>
  <c r="H264" i="3"/>
  <c r="J228" i="3"/>
  <c r="I228" i="3" s="1"/>
  <c r="H228" i="3"/>
  <c r="J226" i="3"/>
  <c r="I226" i="3" s="1"/>
  <c r="H226" i="3"/>
  <c r="J242" i="3"/>
  <c r="I242" i="3" s="1"/>
  <c r="H242" i="3"/>
  <c r="J221" i="3"/>
  <c r="I221" i="3" s="1"/>
  <c r="H221" i="3"/>
  <c r="J268" i="3"/>
  <c r="I268" i="3" s="1"/>
  <c r="H268" i="3"/>
  <c r="J291" i="3"/>
  <c r="I291" i="3" s="1"/>
  <c r="H291" i="3"/>
  <c r="J308" i="3"/>
  <c r="I308" i="3" s="1"/>
  <c r="H308" i="3"/>
  <c r="J205" i="3"/>
  <c r="I205" i="3" s="1"/>
  <c r="H205" i="3"/>
  <c r="J289" i="3"/>
  <c r="I289" i="3" s="1"/>
  <c r="H289" i="3"/>
  <c r="J243" i="3"/>
  <c r="I243" i="3" s="1"/>
  <c r="H243" i="3"/>
  <c r="J290" i="3"/>
  <c r="I290" i="3" s="1"/>
  <c r="H290" i="3"/>
  <c r="J249" i="3"/>
  <c r="I249" i="3" s="1"/>
  <c r="H249" i="3"/>
  <c r="J318" i="3"/>
  <c r="I318" i="3" s="1"/>
  <c r="H318" i="3"/>
  <c r="J282" i="3"/>
  <c r="I282" i="3" s="1"/>
  <c r="H282" i="3"/>
  <c r="J272" i="3"/>
  <c r="I272" i="3" s="1"/>
  <c r="H272" i="3"/>
  <c r="J292" i="3"/>
  <c r="I292" i="3" s="1"/>
  <c r="H292" i="3"/>
  <c r="J234" i="3"/>
  <c r="I234" i="3" s="1"/>
  <c r="H234" i="3"/>
  <c r="J270" i="3"/>
  <c r="I270" i="3" s="1"/>
  <c r="H270" i="3"/>
  <c r="J232" i="3"/>
  <c r="I232" i="3" s="1"/>
  <c r="H232" i="3"/>
  <c r="J286" i="3"/>
  <c r="I286" i="3" s="1"/>
  <c r="H286" i="3"/>
  <c r="J218" i="3"/>
  <c r="I218" i="3" s="1"/>
  <c r="H218" i="3"/>
  <c r="J219" i="3"/>
  <c r="I219" i="3" s="1"/>
  <c r="H219" i="3"/>
  <c r="J293" i="3"/>
  <c r="I293" i="3" s="1"/>
  <c r="H293" i="3"/>
  <c r="J259" i="3"/>
  <c r="I259" i="3" s="1"/>
  <c r="H259" i="3"/>
  <c r="J238" i="3"/>
  <c r="I238" i="3" s="1"/>
  <c r="H238" i="3"/>
  <c r="J377" i="3"/>
  <c r="I377" i="3" s="1"/>
  <c r="H377" i="3"/>
  <c r="J256" i="3"/>
  <c r="I256" i="3" s="1"/>
  <c r="H256" i="3"/>
  <c r="J223" i="3"/>
  <c r="I223" i="3" s="1"/>
  <c r="H223" i="3"/>
  <c r="J254" i="3"/>
  <c r="I254" i="3" s="1"/>
  <c r="H254" i="3"/>
  <c r="J225" i="3"/>
  <c r="I225" i="3" s="1"/>
  <c r="H225" i="3"/>
  <c r="J269" i="3"/>
  <c r="I269" i="3" s="1"/>
  <c r="H269" i="3"/>
  <c r="J236" i="3"/>
  <c r="I236" i="3" s="1"/>
  <c r="H236" i="3"/>
  <c r="J240" i="3"/>
  <c r="I240" i="3" s="1"/>
  <c r="H240" i="3"/>
  <c r="J328" i="3"/>
  <c r="I328" i="3" s="1"/>
  <c r="H328" i="3"/>
  <c r="J278" i="3"/>
  <c r="I278" i="3" s="1"/>
  <c r="H278" i="3"/>
  <c r="J231" i="3"/>
  <c r="I231" i="3" s="1"/>
  <c r="H231" i="3"/>
  <c r="J283" i="3"/>
  <c r="I283" i="3" s="1"/>
  <c r="H283" i="3"/>
  <c r="J252" i="3"/>
  <c r="I252" i="3" s="1"/>
  <c r="H252" i="3"/>
  <c r="J255" i="3"/>
  <c r="I255" i="3" s="1"/>
  <c r="H255" i="3"/>
  <c r="J276" i="3"/>
  <c r="I276" i="3" s="1"/>
  <c r="H276" i="3"/>
  <c r="J257" i="3"/>
  <c r="I257" i="3" s="1"/>
  <c r="H257" i="3"/>
  <c r="J277" i="3"/>
  <c r="I277" i="3" s="1"/>
  <c r="H277" i="3"/>
  <c r="J216" i="3"/>
  <c r="I216" i="3" s="1"/>
  <c r="H216" i="3"/>
  <c r="J251" i="3"/>
  <c r="I251" i="3" s="1"/>
  <c r="H251" i="3"/>
  <c r="J265" i="3"/>
  <c r="I265" i="3" s="1"/>
  <c r="H265" i="3"/>
  <c r="J246" i="3"/>
  <c r="I246" i="3" s="1"/>
  <c r="H246" i="3"/>
  <c r="J281" i="3"/>
  <c r="I281" i="3" s="1"/>
  <c r="H281" i="3"/>
  <c r="J262" i="3"/>
  <c r="I262" i="3" s="1"/>
  <c r="H262" i="3"/>
  <c r="J294" i="3"/>
  <c r="I294" i="3" s="1"/>
  <c r="H294" i="3"/>
  <c r="J295" i="3"/>
  <c r="I295" i="3" s="1"/>
  <c r="H295" i="3"/>
  <c r="J253" i="3"/>
  <c r="I253" i="3" s="1"/>
  <c r="H253" i="3"/>
  <c r="J230" i="3"/>
  <c r="I230" i="3" s="1"/>
  <c r="H230" i="3"/>
  <c r="J224" i="3"/>
  <c r="I224" i="3" s="1"/>
  <c r="H224" i="3"/>
  <c r="J313" i="3"/>
  <c r="I313" i="3" s="1"/>
  <c r="H313" i="3"/>
  <c r="J280" i="3"/>
  <c r="I280" i="3" s="1"/>
  <c r="H280" i="3"/>
  <c r="J303" i="3"/>
  <c r="I303" i="3" s="1"/>
  <c r="H303" i="3"/>
  <c r="J233" i="3"/>
  <c r="I233" i="3" s="1"/>
  <c r="H233" i="3"/>
  <c r="J285" i="3"/>
  <c r="I285" i="3" s="1"/>
  <c r="H285" i="3"/>
  <c r="J239" i="3"/>
  <c r="I239" i="3" s="1"/>
  <c r="H239" i="3"/>
  <c r="J222" i="3"/>
  <c r="I222" i="3" s="1"/>
  <c r="H222" i="3"/>
  <c r="J263" i="3"/>
  <c r="I263" i="3" s="1"/>
  <c r="H263" i="3"/>
  <c r="J267" i="3"/>
  <c r="I267" i="3" s="1"/>
  <c r="H267" i="3"/>
  <c r="J237" i="3"/>
  <c r="I237" i="3" s="1"/>
  <c r="H237" i="3"/>
  <c r="J288" i="3"/>
  <c r="I288" i="3" s="1"/>
  <c r="H288" i="3"/>
  <c r="J247" i="3"/>
  <c r="I247" i="3" s="1"/>
  <c r="H247" i="3"/>
  <c r="J273" i="3"/>
  <c r="I273" i="3" s="1"/>
  <c r="H273" i="3"/>
  <c r="J227" i="3"/>
  <c r="I227" i="3" s="1"/>
  <c r="H227" i="3"/>
  <c r="J275" i="3"/>
  <c r="I275" i="3" s="1"/>
  <c r="H275" i="3"/>
  <c r="J266" i="3"/>
  <c r="I266" i="3" s="1"/>
  <c r="H266" i="3"/>
  <c r="J229" i="3"/>
  <c r="I229" i="3" s="1"/>
  <c r="H229" i="3"/>
  <c r="J217" i="3"/>
  <c r="I217" i="3" s="1"/>
  <c r="H217" i="3"/>
  <c r="J274" i="3"/>
  <c r="I274" i="3" s="1"/>
  <c r="H274" i="3"/>
  <c r="J271" i="3"/>
  <c r="I271" i="3" s="1"/>
  <c r="H271" i="3"/>
  <c r="J260" i="3"/>
  <c r="I260" i="3" s="1"/>
  <c r="H260" i="3"/>
  <c r="J258" i="3"/>
  <c r="I258" i="3" s="1"/>
  <c r="H258" i="3"/>
  <c r="J284" i="3"/>
  <c r="I284" i="3" s="1"/>
  <c r="H284" i="3"/>
  <c r="J220" i="3"/>
  <c r="I220" i="3" s="1"/>
  <c r="H220" i="3"/>
  <c r="J245" i="3"/>
  <c r="I245" i="3" s="1"/>
  <c r="H245" i="3"/>
  <c r="J297" i="3"/>
  <c r="I297" i="3" s="1"/>
  <c r="H297" i="3"/>
  <c r="J248" i="3"/>
  <c r="I248" i="3" s="1"/>
  <c r="H248" i="3"/>
  <c r="J296" i="3"/>
  <c r="I296" i="3" s="1"/>
  <c r="H296" i="3"/>
  <c r="J244" i="3"/>
  <c r="I244" i="3" s="1"/>
  <c r="H244" i="3"/>
  <c r="J287" i="3"/>
  <c r="I287" i="3" s="1"/>
  <c r="H287" i="3"/>
  <c r="J183" i="3"/>
  <c r="I183" i="3" s="1"/>
  <c r="H183" i="3"/>
  <c r="J174" i="3"/>
  <c r="I174" i="3" s="1"/>
  <c r="H174" i="3"/>
  <c r="J144" i="3"/>
  <c r="I144" i="3" s="1"/>
  <c r="H144" i="3"/>
  <c r="J160" i="3"/>
  <c r="I160" i="3" s="1"/>
  <c r="H160" i="3"/>
  <c r="J135" i="3"/>
  <c r="I135" i="3" s="1"/>
  <c r="H135" i="3"/>
  <c r="J150" i="3"/>
  <c r="I150" i="3" s="1"/>
  <c r="H150" i="3"/>
  <c r="J208" i="3"/>
  <c r="I208" i="3" s="1"/>
  <c r="H208" i="3"/>
  <c r="J189" i="3"/>
  <c r="I189" i="3" s="1"/>
  <c r="H189" i="3"/>
  <c r="J155" i="3"/>
  <c r="I155" i="3" s="1"/>
  <c r="H155" i="3"/>
  <c r="J196" i="3"/>
  <c r="I196" i="3" s="1"/>
  <c r="H196" i="3"/>
  <c r="J210" i="3"/>
  <c r="I210" i="3" s="1"/>
  <c r="H210" i="3"/>
  <c r="J156" i="3"/>
  <c r="I156" i="3" s="1"/>
  <c r="H156" i="3"/>
  <c r="J211" i="3"/>
  <c r="I211" i="3" s="1"/>
  <c r="H211" i="3"/>
  <c r="J169" i="3"/>
  <c r="I169" i="3" s="1"/>
  <c r="H169" i="3"/>
  <c r="J182" i="3"/>
  <c r="I182" i="3" s="1"/>
  <c r="H182" i="3"/>
  <c r="J200" i="3"/>
  <c r="I200" i="3" s="1"/>
  <c r="H200" i="3"/>
  <c r="J185" i="3"/>
  <c r="I185" i="3" s="1"/>
  <c r="H185" i="3"/>
  <c r="J207" i="3"/>
  <c r="I207" i="3" s="1"/>
  <c r="H207" i="3"/>
  <c r="J154" i="3"/>
  <c r="I154" i="3" s="1"/>
  <c r="H154" i="3"/>
  <c r="J136" i="3"/>
  <c r="I136" i="3" s="1"/>
  <c r="H136" i="3"/>
  <c r="J201" i="3"/>
  <c r="I201" i="3" s="1"/>
  <c r="H201" i="3"/>
  <c r="J139" i="3"/>
  <c r="I139" i="3" s="1"/>
  <c r="H139" i="3"/>
  <c r="J142" i="3"/>
  <c r="I142" i="3" s="1"/>
  <c r="H142" i="3"/>
  <c r="J191" i="3"/>
  <c r="I191" i="3" s="1"/>
  <c r="H191" i="3"/>
  <c r="J209" i="3"/>
  <c r="I209" i="3" s="1"/>
  <c r="H209" i="3"/>
  <c r="J167" i="3"/>
  <c r="I167" i="3" s="1"/>
  <c r="H167" i="3"/>
  <c r="J194" i="3"/>
  <c r="I194" i="3" s="1"/>
  <c r="H194" i="3"/>
  <c r="J158" i="3"/>
  <c r="I158" i="3" s="1"/>
  <c r="H158" i="3"/>
  <c r="J184" i="3"/>
  <c r="I184" i="3" s="1"/>
  <c r="H184" i="3"/>
  <c r="J214" i="3"/>
  <c r="I214" i="3" s="1"/>
  <c r="H214" i="3"/>
  <c r="J138" i="3"/>
  <c r="I138" i="3" s="1"/>
  <c r="H138" i="3"/>
  <c r="J202" i="3"/>
  <c r="I202" i="3" s="1"/>
  <c r="H202" i="3"/>
  <c r="J179" i="3"/>
  <c r="I179" i="3" s="1"/>
  <c r="H179" i="3"/>
  <c r="J176" i="3"/>
  <c r="I176" i="3" s="1"/>
  <c r="H176" i="3"/>
  <c r="J165" i="3"/>
  <c r="I165" i="3" s="1"/>
  <c r="H165" i="3"/>
  <c r="J168" i="3"/>
  <c r="I168" i="3" s="1"/>
  <c r="H168" i="3"/>
  <c r="J177" i="3"/>
  <c r="I177" i="3" s="1"/>
  <c r="H177" i="3"/>
  <c r="J212" i="3"/>
  <c r="I212" i="3" s="1"/>
  <c r="H212" i="3"/>
  <c r="J145" i="3"/>
  <c r="I145" i="3" s="1"/>
  <c r="H145" i="3"/>
  <c r="J195" i="3"/>
  <c r="I195" i="3" s="1"/>
  <c r="H195" i="3"/>
  <c r="J198" i="3"/>
  <c r="I198" i="3" s="1"/>
  <c r="H198" i="3"/>
  <c r="J206" i="3"/>
  <c r="I206" i="3" s="1"/>
  <c r="H206" i="3"/>
  <c r="J163" i="3"/>
  <c r="I163" i="3" s="1"/>
  <c r="H163" i="3"/>
  <c r="J199" i="3"/>
  <c r="I199" i="3" s="1"/>
  <c r="H199" i="3"/>
  <c r="J172" i="3"/>
  <c r="I172" i="3" s="1"/>
  <c r="H172" i="3"/>
  <c r="J186" i="3"/>
  <c r="I186" i="3" s="1"/>
  <c r="H186" i="3"/>
  <c r="J180" i="3"/>
  <c r="I180" i="3" s="1"/>
  <c r="H180" i="3"/>
  <c r="J140" i="3"/>
  <c r="I140" i="3" s="1"/>
  <c r="H140" i="3"/>
  <c r="J188" i="3"/>
  <c r="I188" i="3" s="1"/>
  <c r="H188" i="3"/>
  <c r="J181" i="3"/>
  <c r="I181" i="3" s="1"/>
  <c r="H181" i="3"/>
  <c r="J213" i="3"/>
  <c r="I213" i="3" s="1"/>
  <c r="H213" i="3"/>
  <c r="J152" i="3"/>
  <c r="I152" i="3" s="1"/>
  <c r="H152" i="3"/>
  <c r="J143" i="3"/>
  <c r="I143" i="3" s="1"/>
  <c r="H143" i="3"/>
  <c r="J204" i="3"/>
  <c r="I204" i="3" s="1"/>
  <c r="H204" i="3"/>
  <c r="J157" i="3"/>
  <c r="I157" i="3" s="1"/>
  <c r="H157" i="3"/>
  <c r="J173" i="3"/>
  <c r="I173" i="3" s="1"/>
  <c r="H173" i="3"/>
  <c r="J175" i="3"/>
  <c r="I175" i="3" s="1"/>
  <c r="H175" i="3"/>
  <c r="J166" i="3"/>
  <c r="I166" i="3" s="1"/>
  <c r="H166" i="3"/>
  <c r="J190" i="3"/>
  <c r="I190" i="3" s="1"/>
  <c r="H190" i="3"/>
  <c r="J159" i="3"/>
  <c r="I159" i="3" s="1"/>
  <c r="H159" i="3"/>
  <c r="J162" i="3"/>
  <c r="I162" i="3" s="1"/>
  <c r="H162" i="3"/>
  <c r="J215" i="3"/>
  <c r="I215" i="3" s="1"/>
  <c r="H215" i="3"/>
  <c r="J151" i="3"/>
  <c r="I151" i="3" s="1"/>
  <c r="H151" i="3"/>
  <c r="J187" i="3"/>
  <c r="I187" i="3" s="1"/>
  <c r="H187" i="3"/>
  <c r="J146" i="3"/>
  <c r="I146" i="3" s="1"/>
  <c r="H146" i="3"/>
  <c r="J197" i="3"/>
  <c r="I197" i="3" s="1"/>
  <c r="H197" i="3"/>
  <c r="J148" i="3"/>
  <c r="I148" i="3" s="1"/>
  <c r="H148" i="3"/>
  <c r="J192" i="3"/>
  <c r="I192" i="3" s="1"/>
  <c r="H192" i="3"/>
  <c r="J170" i="3"/>
  <c r="I170" i="3" s="1"/>
  <c r="H170" i="3"/>
  <c r="J153" i="3"/>
  <c r="I153" i="3" s="1"/>
  <c r="H153" i="3"/>
  <c r="J178" i="3"/>
  <c r="I178" i="3" s="1"/>
  <c r="H178" i="3"/>
  <c r="J137" i="3"/>
  <c r="I137" i="3" s="1"/>
  <c r="H137" i="3"/>
  <c r="J171" i="3"/>
  <c r="I171" i="3" s="1"/>
  <c r="H171" i="3"/>
  <c r="J149" i="3"/>
  <c r="I149" i="3" s="1"/>
  <c r="H149" i="3"/>
  <c r="J241" i="3"/>
  <c r="I241" i="3" s="1"/>
  <c r="H241" i="3"/>
  <c r="J164" i="3"/>
  <c r="I164" i="3" s="1"/>
  <c r="H164" i="3"/>
  <c r="J193" i="3"/>
  <c r="I193" i="3" s="1"/>
  <c r="H193" i="3"/>
  <c r="J161" i="3"/>
  <c r="I161" i="3" s="1"/>
  <c r="H161" i="3"/>
  <c r="J203" i="3"/>
  <c r="I203" i="3" s="1"/>
  <c r="H203" i="3"/>
  <c r="J322" i="3"/>
  <c r="I322" i="3" s="1"/>
  <c r="H322" i="3"/>
  <c r="J147" i="3"/>
  <c r="I147" i="3" s="1"/>
  <c r="H147" i="3"/>
  <c r="J321" i="3"/>
  <c r="I321" i="3" s="1"/>
  <c r="H321" i="3"/>
  <c r="J115" i="3"/>
  <c r="I115" i="3" s="1"/>
  <c r="H115" i="3"/>
  <c r="J77" i="3"/>
  <c r="I77" i="3" s="1"/>
  <c r="H77" i="3"/>
  <c r="J55" i="3"/>
  <c r="I55" i="3" s="1"/>
  <c r="H55" i="3"/>
  <c r="J80" i="3"/>
  <c r="I80" i="3" s="1"/>
  <c r="H80" i="3"/>
  <c r="J60" i="3"/>
  <c r="I60" i="3" s="1"/>
  <c r="H60" i="3"/>
  <c r="J117" i="3"/>
  <c r="I117" i="3" s="1"/>
  <c r="H117" i="3"/>
  <c r="J85" i="3"/>
  <c r="I85" i="3" s="1"/>
  <c r="H85" i="3"/>
  <c r="J105" i="3"/>
  <c r="I105" i="3" s="1"/>
  <c r="H105" i="3"/>
  <c r="J95" i="3"/>
  <c r="I95" i="3" s="1"/>
  <c r="H95" i="3"/>
  <c r="J90" i="3"/>
  <c r="I90" i="3" s="1"/>
  <c r="H90" i="3"/>
  <c r="J131" i="3"/>
  <c r="I131" i="3" s="1"/>
  <c r="H131" i="3"/>
  <c r="J62" i="3"/>
  <c r="I62" i="3" s="1"/>
  <c r="H62" i="3"/>
  <c r="J70" i="3"/>
  <c r="I70" i="3" s="1"/>
  <c r="H70" i="3"/>
  <c r="J87" i="3"/>
  <c r="I87" i="3" s="1"/>
  <c r="H87" i="3"/>
  <c r="J83" i="3"/>
  <c r="I83" i="3" s="1"/>
  <c r="H83" i="3"/>
  <c r="J124" i="3"/>
  <c r="I124" i="3" s="1"/>
  <c r="H124" i="3"/>
  <c r="J98" i="3"/>
  <c r="I98" i="3" s="1"/>
  <c r="H98" i="3"/>
  <c r="J121" i="3"/>
  <c r="I121" i="3" s="1"/>
  <c r="H121" i="3"/>
  <c r="J59" i="3"/>
  <c r="I59" i="3" s="1"/>
  <c r="H59" i="3"/>
  <c r="J132" i="3"/>
  <c r="I132" i="3" s="1"/>
  <c r="H132" i="3"/>
  <c r="J58" i="3"/>
  <c r="I58" i="3" s="1"/>
  <c r="H58" i="3"/>
  <c r="J57" i="3"/>
  <c r="I57" i="3" s="1"/>
  <c r="H57" i="3"/>
  <c r="J133" i="3"/>
  <c r="I133" i="3" s="1"/>
  <c r="H133" i="3"/>
  <c r="J128" i="3"/>
  <c r="I128" i="3" s="1"/>
  <c r="H128" i="3"/>
  <c r="J91" i="3"/>
  <c r="I91" i="3" s="1"/>
  <c r="H91" i="3"/>
  <c r="J134" i="3"/>
  <c r="I134" i="3" s="1"/>
  <c r="H134" i="3"/>
  <c r="J53" i="3"/>
  <c r="I53" i="3" s="1"/>
  <c r="H53" i="3"/>
  <c r="J76" i="3"/>
  <c r="I76" i="3" s="1"/>
  <c r="H76" i="3"/>
  <c r="J111" i="3"/>
  <c r="I111" i="3" s="1"/>
  <c r="H111" i="3"/>
  <c r="J86" i="3"/>
  <c r="I86" i="3"/>
  <c r="H86" i="3"/>
  <c r="J56" i="3"/>
  <c r="I56" i="3" s="1"/>
  <c r="H56" i="3"/>
  <c r="J130" i="3"/>
  <c r="I130" i="3" s="1"/>
  <c r="H130" i="3"/>
  <c r="J79" i="3"/>
  <c r="I79" i="3" s="1"/>
  <c r="H79" i="3"/>
  <c r="J69" i="3"/>
  <c r="I69" i="3" s="1"/>
  <c r="H69" i="3"/>
  <c r="J93" i="3"/>
  <c r="I93" i="3" s="1"/>
  <c r="H93" i="3"/>
  <c r="J71" i="3"/>
  <c r="I71" i="3" s="1"/>
  <c r="H71" i="3"/>
  <c r="J125" i="3"/>
  <c r="I125" i="3" s="1"/>
  <c r="H125" i="3"/>
  <c r="J92" i="3"/>
  <c r="I92" i="3" s="1"/>
  <c r="H92" i="3"/>
  <c r="J113" i="3"/>
  <c r="I113" i="3" s="1"/>
  <c r="H113" i="3"/>
  <c r="J119" i="3"/>
  <c r="I119" i="3" s="1"/>
  <c r="H119" i="3"/>
  <c r="J127" i="3"/>
  <c r="I127" i="3" s="1"/>
  <c r="H127" i="3"/>
  <c r="J72" i="3"/>
  <c r="I72" i="3" s="1"/>
  <c r="H72" i="3"/>
  <c r="J107" i="3"/>
  <c r="I107" i="3" s="1"/>
  <c r="H107" i="3"/>
  <c r="J108" i="3"/>
  <c r="I108" i="3" s="1"/>
  <c r="H108" i="3"/>
  <c r="J81" i="3"/>
  <c r="I81" i="3" s="1"/>
  <c r="H81" i="3"/>
  <c r="J101" i="3"/>
  <c r="I101" i="3" s="1"/>
  <c r="H101" i="3"/>
  <c r="J102" i="3"/>
  <c r="I102" i="3" s="1"/>
  <c r="H102" i="3"/>
  <c r="J96" i="3"/>
  <c r="I96" i="3" s="1"/>
  <c r="H96" i="3"/>
  <c r="J99" i="3"/>
  <c r="I99" i="3" s="1"/>
  <c r="H99" i="3"/>
  <c r="J103" i="3"/>
  <c r="I103" i="3" s="1"/>
  <c r="H103" i="3"/>
  <c r="J110" i="3"/>
  <c r="I110" i="3" s="1"/>
  <c r="H110" i="3"/>
  <c r="J64" i="3"/>
  <c r="I64" i="3" s="1"/>
  <c r="H64" i="3"/>
  <c r="J82" i="3"/>
  <c r="I82" i="3" s="1"/>
  <c r="H82" i="3"/>
  <c r="J78" i="3"/>
  <c r="I78" i="3" s="1"/>
  <c r="H78" i="3"/>
  <c r="J118" i="3"/>
  <c r="I118" i="3" s="1"/>
  <c r="H118" i="3"/>
  <c r="J120" i="3"/>
  <c r="I120" i="3" s="1"/>
  <c r="H120" i="3"/>
  <c r="J66" i="3"/>
  <c r="I66" i="3" s="1"/>
  <c r="H66" i="3"/>
  <c r="J74" i="3"/>
  <c r="I74" i="3" s="1"/>
  <c r="H74" i="3"/>
  <c r="J141" i="3"/>
  <c r="I141" i="3" s="1"/>
  <c r="H141" i="3"/>
  <c r="J73" i="3"/>
  <c r="I73" i="3" s="1"/>
  <c r="H73" i="3"/>
  <c r="J114" i="3"/>
  <c r="I114" i="3" s="1"/>
  <c r="H114" i="3"/>
  <c r="J109" i="3"/>
  <c r="I109" i="3" s="1"/>
  <c r="H109" i="3"/>
  <c r="J61" i="3"/>
  <c r="I61" i="3" s="1"/>
  <c r="H61" i="3"/>
  <c r="J104" i="3"/>
  <c r="I104" i="3" s="1"/>
  <c r="H104" i="3"/>
  <c r="J75" i="3"/>
  <c r="I75" i="3" s="1"/>
  <c r="H75" i="3"/>
  <c r="J129" i="3"/>
  <c r="I129" i="3" s="1"/>
  <c r="H129" i="3"/>
  <c r="J106" i="3"/>
  <c r="I106" i="3" s="1"/>
  <c r="H106" i="3"/>
  <c r="J112" i="3"/>
  <c r="I112" i="3" s="1"/>
  <c r="H112" i="3"/>
  <c r="J63" i="3"/>
  <c r="I63" i="3" s="1"/>
  <c r="H63" i="3"/>
  <c r="J65" i="3"/>
  <c r="I65" i="3" s="1"/>
  <c r="H65" i="3"/>
  <c r="J67" i="3"/>
  <c r="I67" i="3" s="1"/>
  <c r="H67" i="3"/>
  <c r="J473" i="3"/>
  <c r="I473" i="3" s="1"/>
  <c r="H473" i="3"/>
  <c r="J94" i="3"/>
  <c r="I94" i="3" s="1"/>
  <c r="H94" i="3"/>
  <c r="J88" i="3"/>
  <c r="I88" i="3" s="1"/>
  <c r="H88" i="3"/>
  <c r="J116" i="3"/>
  <c r="I116" i="3" s="1"/>
  <c r="H116" i="3"/>
  <c r="J126" i="3"/>
  <c r="I126" i="3" s="1"/>
  <c r="H126" i="3"/>
  <c r="J89" i="3"/>
  <c r="I89" i="3" s="1"/>
  <c r="H89" i="3"/>
  <c r="J68" i="3"/>
  <c r="I68" i="3" s="1"/>
  <c r="H68" i="3"/>
  <c r="J100" i="3"/>
  <c r="I100" i="3" s="1"/>
  <c r="H100" i="3"/>
  <c r="J123" i="3"/>
  <c r="I123" i="3" s="1"/>
  <c r="H123" i="3"/>
  <c r="J54" i="3"/>
  <c r="I54" i="3" s="1"/>
  <c r="H54" i="3"/>
  <c r="J97" i="3"/>
  <c r="I97" i="3" s="1"/>
  <c r="H97" i="3"/>
  <c r="J122" i="3"/>
  <c r="I122" i="3" s="1"/>
  <c r="H122" i="3"/>
  <c r="J84" i="3"/>
  <c r="I84" i="3" s="1"/>
  <c r="H84" i="3"/>
  <c r="J320" i="3"/>
  <c r="I320" i="3" s="1"/>
  <c r="H320" i="3"/>
  <c r="J18" i="3"/>
  <c r="I18" i="3" s="1"/>
  <c r="H18" i="3"/>
  <c r="J11" i="3"/>
  <c r="I11" i="3" s="1"/>
  <c r="H11" i="3"/>
  <c r="J27" i="3"/>
  <c r="I27" i="3" s="1"/>
  <c r="H27" i="3"/>
  <c r="J48" i="3"/>
  <c r="I48" i="3" s="1"/>
  <c r="H48" i="3"/>
  <c r="J10" i="3"/>
  <c r="I10" i="3" s="1"/>
  <c r="H10" i="3"/>
  <c r="J23" i="3"/>
  <c r="I23" i="3" s="1"/>
  <c r="H23" i="3"/>
  <c r="J32" i="3"/>
  <c r="I32" i="3" s="1"/>
  <c r="H32" i="3"/>
  <c r="J43" i="3"/>
  <c r="I43" i="3" s="1"/>
  <c r="H43" i="3"/>
  <c r="J16" i="3"/>
  <c r="I16" i="3" s="1"/>
  <c r="H16" i="3"/>
  <c r="J25" i="3"/>
  <c r="I25" i="3" s="1"/>
  <c r="H25" i="3"/>
  <c r="J20" i="3"/>
  <c r="I20" i="3" s="1"/>
  <c r="H20" i="3"/>
  <c r="J14" i="3"/>
  <c r="I14" i="3" s="1"/>
  <c r="H14" i="3"/>
  <c r="J7" i="3"/>
  <c r="I7" i="3" s="1"/>
  <c r="H7" i="3"/>
  <c r="J6" i="3"/>
  <c r="I6" i="3" s="1"/>
  <c r="H6" i="3"/>
  <c r="J47" i="3"/>
  <c r="I47" i="3" s="1"/>
  <c r="H47" i="3"/>
  <c r="J42" i="3"/>
  <c r="I42" i="3" s="1"/>
  <c r="H42" i="3"/>
  <c r="J35" i="3"/>
  <c r="I35" i="3" s="1"/>
  <c r="H35" i="3"/>
  <c r="J33" i="3"/>
  <c r="I33" i="3" s="1"/>
  <c r="H33" i="3"/>
  <c r="J2" i="3"/>
  <c r="I2" i="3" s="1"/>
  <c r="H2" i="3"/>
  <c r="J38" i="3"/>
  <c r="I38" i="3" s="1"/>
  <c r="H38" i="3"/>
  <c r="J29" i="3"/>
  <c r="I29" i="3" s="1"/>
  <c r="H29" i="3"/>
  <c r="J40" i="3"/>
  <c r="I40" i="3" s="1"/>
  <c r="H40" i="3"/>
  <c r="J51" i="3"/>
  <c r="I51" i="3" s="1"/>
  <c r="H51" i="3"/>
  <c r="J41" i="3"/>
  <c r="I41" i="3" s="1"/>
  <c r="H41" i="3"/>
  <c r="J39" i="3"/>
  <c r="I39" i="3" s="1"/>
  <c r="H39" i="3"/>
  <c r="J28" i="3"/>
  <c r="I28" i="3" s="1"/>
  <c r="H28" i="3"/>
  <c r="J3" i="3"/>
  <c r="I3" i="3" s="1"/>
  <c r="H3" i="3"/>
  <c r="J34" i="3"/>
  <c r="I34" i="3" s="1"/>
  <c r="H34" i="3"/>
  <c r="J36" i="3"/>
  <c r="I36" i="3" s="1"/>
  <c r="H36" i="3"/>
  <c r="J37" i="3"/>
  <c r="I37" i="3" s="1"/>
  <c r="H37" i="3"/>
  <c r="J9" i="3"/>
  <c r="I9" i="3" s="1"/>
  <c r="H9" i="3"/>
  <c r="J5" i="3"/>
  <c r="I5" i="3" s="1"/>
  <c r="H5" i="3"/>
  <c r="J24" i="3"/>
  <c r="I24" i="3" s="1"/>
  <c r="H24" i="3"/>
  <c r="J45" i="3"/>
  <c r="I45" i="3" s="1"/>
  <c r="H45" i="3"/>
  <c r="J46" i="3"/>
  <c r="I46" i="3" s="1"/>
  <c r="H46" i="3"/>
  <c r="J52" i="3"/>
  <c r="I52" i="3" s="1"/>
  <c r="H52" i="3"/>
  <c r="J8" i="3"/>
  <c r="I8" i="3" s="1"/>
  <c r="H8" i="3"/>
  <c r="J17" i="3"/>
  <c r="I17" i="3" s="1"/>
  <c r="H17" i="3"/>
  <c r="J26" i="3"/>
  <c r="I26" i="3" s="1"/>
  <c r="H26" i="3"/>
  <c r="J15" i="3"/>
  <c r="I15" i="3" s="1"/>
  <c r="H15" i="3"/>
  <c r="J21" i="3"/>
  <c r="I21" i="3" s="1"/>
  <c r="H21" i="3"/>
  <c r="J12" i="3"/>
  <c r="I12" i="3" s="1"/>
  <c r="H12" i="3"/>
  <c r="J19" i="3"/>
  <c r="I19" i="3" s="1"/>
  <c r="H19" i="3"/>
  <c r="J22" i="3"/>
  <c r="I22" i="3" s="1"/>
  <c r="H22" i="3"/>
  <c r="J4" i="3"/>
  <c r="I4" i="3" s="1"/>
  <c r="H4" i="3"/>
  <c r="J44" i="3"/>
  <c r="I44" i="3" s="1"/>
  <c r="H44" i="3"/>
  <c r="J50" i="3"/>
  <c r="I50" i="3" s="1"/>
  <c r="H50" i="3"/>
  <c r="J31" i="3"/>
  <c r="I31" i="3" s="1"/>
  <c r="H31" i="3"/>
  <c r="J13" i="3"/>
  <c r="I13" i="3" s="1"/>
  <c r="H13" i="3"/>
  <c r="J49" i="3"/>
  <c r="I49" i="3" s="1"/>
  <c r="H49" i="3"/>
  <c r="J30" i="3"/>
  <c r="I30" i="3" s="1"/>
  <c r="H30" i="3"/>
  <c r="G470" i="2"/>
  <c r="G496" i="2"/>
  <c r="G437" i="2"/>
  <c r="G479" i="2"/>
  <c r="G432" i="2"/>
  <c r="G448" i="2"/>
  <c r="G419" i="2"/>
  <c r="G497" i="2"/>
  <c r="G476" i="2"/>
  <c r="G493" i="2"/>
  <c r="G339" i="2"/>
  <c r="G465" i="2"/>
  <c r="G505" i="2"/>
  <c r="G424" i="2"/>
  <c r="G506" i="2"/>
  <c r="G503" i="2"/>
  <c r="G441" i="2"/>
  <c r="G426" i="2"/>
  <c r="G487" i="2"/>
  <c r="G436" i="2"/>
  <c r="G488" i="2"/>
  <c r="G467" i="2"/>
  <c r="G430" i="2"/>
  <c r="G431" i="2"/>
  <c r="G484" i="2"/>
  <c r="G450" i="2"/>
  <c r="G418" i="2"/>
  <c r="G468" i="2"/>
  <c r="G459" i="2"/>
  <c r="G490" i="2"/>
  <c r="G440" i="2"/>
  <c r="G451" i="2"/>
  <c r="G457" i="2"/>
  <c r="G499" i="2"/>
  <c r="G492" i="2"/>
  <c r="G416" i="2"/>
  <c r="G445" i="2"/>
  <c r="G494" i="2"/>
  <c r="G462" i="2"/>
  <c r="G486" i="2"/>
  <c r="G471" i="2"/>
  <c r="G456" i="2"/>
  <c r="G455" i="2"/>
  <c r="G434" i="2"/>
  <c r="G438" i="2"/>
  <c r="G429" i="2"/>
  <c r="G480" i="2"/>
  <c r="G481" i="2"/>
  <c r="G504" i="2"/>
  <c r="G453" i="2"/>
  <c r="G452" i="2"/>
  <c r="G507" i="2"/>
  <c r="G477" i="2"/>
  <c r="G472" i="2"/>
  <c r="G458" i="2"/>
  <c r="G425" i="2"/>
  <c r="G498" i="2"/>
  <c r="G428" i="2"/>
  <c r="G475" i="2"/>
  <c r="G502" i="2"/>
  <c r="G442" i="2"/>
  <c r="G417" i="2"/>
  <c r="G439" i="2"/>
  <c r="G478" i="2"/>
  <c r="G482" i="2"/>
  <c r="G474" i="2"/>
  <c r="G443" i="2"/>
  <c r="G500" i="2"/>
  <c r="G495" i="2"/>
  <c r="G491" i="2"/>
  <c r="G433" i="2"/>
  <c r="G444" i="2"/>
  <c r="G454" i="2"/>
  <c r="G427" i="2"/>
  <c r="G449" i="2"/>
  <c r="G461" i="2"/>
  <c r="G501" i="2"/>
  <c r="G483" i="2"/>
  <c r="G447" i="2"/>
  <c r="G435" i="2"/>
  <c r="G423" i="2"/>
  <c r="G489" i="2"/>
  <c r="G460" i="2"/>
  <c r="G464" i="2"/>
  <c r="G463" i="2"/>
  <c r="G469" i="2"/>
  <c r="G466" i="2"/>
  <c r="G422" i="2"/>
  <c r="G446" i="2"/>
  <c r="G367" i="2"/>
  <c r="G379" i="2"/>
  <c r="G401" i="2"/>
  <c r="G362" i="2"/>
  <c r="G330" i="2"/>
  <c r="G369" i="2"/>
  <c r="G324" i="2"/>
  <c r="G337" i="2"/>
  <c r="G348" i="2"/>
  <c r="G301" i="2"/>
  <c r="G376" i="2"/>
  <c r="G395" i="2"/>
  <c r="G399" i="2"/>
  <c r="G311" i="2"/>
  <c r="G312" i="2"/>
  <c r="G410" i="2"/>
  <c r="G402" i="2"/>
  <c r="G335" i="2"/>
  <c r="G421" i="2"/>
  <c r="G309" i="2"/>
  <c r="G302" i="2"/>
  <c r="G361" i="2"/>
  <c r="G366" i="2"/>
  <c r="G398" i="2"/>
  <c r="G389" i="2"/>
  <c r="G329" i="2"/>
  <c r="G374" i="2"/>
  <c r="G323" i="2"/>
  <c r="G316" i="2"/>
  <c r="G405" i="2"/>
  <c r="G412" i="2"/>
  <c r="G314" i="2"/>
  <c r="G338" i="2"/>
  <c r="G300" i="2"/>
  <c r="G406" i="2"/>
  <c r="G356" i="2"/>
  <c r="G415" i="2"/>
  <c r="G351" i="2"/>
  <c r="G354" i="2"/>
  <c r="G365" i="2"/>
  <c r="G307" i="2"/>
  <c r="G332" i="2"/>
  <c r="G341" i="2"/>
  <c r="G343" i="2"/>
  <c r="G397" i="2"/>
  <c r="G394" i="2"/>
  <c r="G304" i="2"/>
  <c r="G347" i="2"/>
  <c r="G414" i="2"/>
  <c r="G387" i="2"/>
  <c r="G391" i="2"/>
  <c r="G383" i="2"/>
  <c r="G355" i="2"/>
  <c r="G331" i="2"/>
  <c r="G396" i="2"/>
  <c r="G392" i="2"/>
  <c r="G393" i="2"/>
  <c r="G413" i="2"/>
  <c r="G317" i="2"/>
  <c r="G333" i="2"/>
  <c r="G342" i="2"/>
  <c r="G400" i="2"/>
  <c r="G370" i="2"/>
  <c r="G375" i="2"/>
  <c r="G334" i="2"/>
  <c r="G409" i="2"/>
  <c r="G411" i="2"/>
  <c r="G358" i="2"/>
  <c r="G305" i="2"/>
  <c r="G408" i="2"/>
  <c r="G385" i="2"/>
  <c r="G390" i="2"/>
  <c r="G380" i="2"/>
  <c r="G404" i="2"/>
  <c r="G364" i="2"/>
  <c r="G485" i="2"/>
  <c r="G325" i="2"/>
  <c r="G298" i="2"/>
  <c r="G368" i="2"/>
  <c r="G363" i="2"/>
  <c r="G388" i="2"/>
  <c r="G336" i="2"/>
  <c r="G346" i="2"/>
  <c r="G403" i="2"/>
  <c r="G378" i="2"/>
  <c r="G371" i="2"/>
  <c r="G384" i="2"/>
  <c r="G315" i="2"/>
  <c r="G360" i="2"/>
  <c r="G326" i="2"/>
  <c r="G340" i="2"/>
  <c r="G359" i="2"/>
  <c r="G299" i="2"/>
  <c r="G373" i="2"/>
  <c r="G327" i="2"/>
  <c r="G310" i="2"/>
  <c r="G381" i="2"/>
  <c r="G352" i="2"/>
  <c r="G372" i="2"/>
  <c r="G353" i="2"/>
  <c r="G349" i="2"/>
  <c r="G357" i="2"/>
  <c r="G306" i="2"/>
  <c r="G344" i="2"/>
  <c r="G420" i="2"/>
  <c r="G350" i="2"/>
  <c r="G382" i="2"/>
  <c r="G386" i="2"/>
  <c r="G345" i="2"/>
  <c r="G407" i="2"/>
  <c r="G319" i="2"/>
  <c r="G279" i="2"/>
  <c r="G250" i="2"/>
  <c r="G261" i="2"/>
  <c r="G235" i="2"/>
  <c r="G264" i="2"/>
  <c r="G228" i="2"/>
  <c r="G226" i="2"/>
  <c r="G242" i="2"/>
  <c r="G221" i="2"/>
  <c r="G268" i="2"/>
  <c r="G291" i="2"/>
  <c r="G308" i="2"/>
  <c r="G205" i="2"/>
  <c r="G289" i="2"/>
  <c r="G243" i="2"/>
  <c r="G290" i="2"/>
  <c r="G249" i="2"/>
  <c r="G318" i="2"/>
  <c r="G282" i="2"/>
  <c r="G272" i="2"/>
  <c r="G292" i="2"/>
  <c r="G234" i="2"/>
  <c r="G270" i="2"/>
  <c r="G232" i="2"/>
  <c r="G286" i="2"/>
  <c r="G218" i="2"/>
  <c r="G219" i="2"/>
  <c r="G293" i="2"/>
  <c r="G259" i="2"/>
  <c r="G238" i="2"/>
  <c r="G377" i="2"/>
  <c r="G256" i="2"/>
  <c r="G223" i="2"/>
  <c r="G254" i="2"/>
  <c r="G225" i="2"/>
  <c r="G269" i="2"/>
  <c r="G236" i="2"/>
  <c r="G240" i="2"/>
  <c r="G328" i="2"/>
  <c r="G278" i="2"/>
  <c r="G231" i="2"/>
  <c r="G283" i="2"/>
  <c r="G252" i="2"/>
  <c r="G255" i="2"/>
  <c r="G276" i="2"/>
  <c r="G257" i="2"/>
  <c r="G277" i="2"/>
  <c r="G216" i="2"/>
  <c r="G251" i="2"/>
  <c r="G265" i="2"/>
  <c r="G246" i="2"/>
  <c r="G281" i="2"/>
  <c r="G262" i="2"/>
  <c r="G294" i="2"/>
  <c r="G295" i="2"/>
  <c r="G253" i="2"/>
  <c r="G230" i="2"/>
  <c r="G224" i="2"/>
  <c r="G313" i="2"/>
  <c r="G280" i="2"/>
  <c r="G303" i="2"/>
  <c r="G233" i="2"/>
  <c r="G285" i="2"/>
  <c r="G239" i="2"/>
  <c r="G222" i="2"/>
  <c r="G263" i="2"/>
  <c r="G267" i="2"/>
  <c r="G237" i="2"/>
  <c r="G288" i="2"/>
  <c r="G247" i="2"/>
  <c r="G273" i="2"/>
  <c r="G227" i="2"/>
  <c r="G275" i="2"/>
  <c r="G266" i="2"/>
  <c r="G229" i="2"/>
  <c r="G217" i="2"/>
  <c r="G274" i="2"/>
  <c r="G271" i="2"/>
  <c r="G260" i="2"/>
  <c r="G258" i="2"/>
  <c r="G284" i="2"/>
  <c r="G220" i="2"/>
  <c r="G245" i="2"/>
  <c r="G297" i="2"/>
  <c r="G248" i="2"/>
  <c r="G296" i="2"/>
  <c r="G244" i="2"/>
  <c r="G287" i="2"/>
  <c r="G183" i="2"/>
  <c r="G174" i="2"/>
  <c r="G144" i="2"/>
  <c r="G160" i="2"/>
  <c r="G135" i="2"/>
  <c r="G150" i="2"/>
  <c r="G208" i="2"/>
  <c r="G189" i="2"/>
  <c r="G155" i="2"/>
  <c r="G196" i="2"/>
  <c r="G210" i="2"/>
  <c r="G156" i="2"/>
  <c r="G211" i="2"/>
  <c r="G169" i="2"/>
  <c r="G182" i="2"/>
  <c r="G200" i="2"/>
  <c r="G185" i="2"/>
  <c r="G207" i="2"/>
  <c r="G154" i="2"/>
  <c r="G136" i="2"/>
  <c r="G201" i="2"/>
  <c r="G139" i="2"/>
  <c r="G142" i="2"/>
  <c r="G191" i="2"/>
  <c r="G209" i="2"/>
  <c r="G167" i="2"/>
  <c r="G194" i="2"/>
  <c r="G158" i="2"/>
  <c r="G184" i="2"/>
  <c r="G214" i="2"/>
  <c r="G138" i="2"/>
  <c r="G202" i="2"/>
  <c r="G179" i="2"/>
  <c r="G176" i="2"/>
  <c r="G165" i="2"/>
  <c r="G168" i="2"/>
  <c r="G177" i="2"/>
  <c r="G212" i="2"/>
  <c r="G145" i="2"/>
  <c r="G195" i="2"/>
  <c r="G198" i="2"/>
  <c r="G206" i="2"/>
  <c r="G163" i="2"/>
  <c r="G199" i="2"/>
  <c r="G172" i="2"/>
  <c r="G186" i="2"/>
  <c r="G180" i="2"/>
  <c r="G140" i="2"/>
  <c r="G188" i="2"/>
  <c r="G181" i="2"/>
  <c r="G213" i="2"/>
  <c r="G152" i="2"/>
  <c r="G143" i="2"/>
  <c r="G204" i="2"/>
  <c r="G157" i="2"/>
  <c r="G173" i="2"/>
  <c r="G175" i="2"/>
  <c r="G166" i="2"/>
  <c r="G190" i="2"/>
  <c r="G159" i="2"/>
  <c r="G162" i="2"/>
  <c r="G215" i="2"/>
  <c r="G151" i="2"/>
  <c r="G187" i="2"/>
  <c r="G146" i="2"/>
  <c r="G197" i="2"/>
  <c r="G148" i="2"/>
  <c r="G192" i="2"/>
  <c r="G170" i="2"/>
  <c r="G153" i="2"/>
  <c r="G178" i="2"/>
  <c r="G137" i="2"/>
  <c r="G171" i="2"/>
  <c r="G149" i="2"/>
  <c r="G241" i="2"/>
  <c r="G164" i="2"/>
  <c r="G193" i="2"/>
  <c r="G161" i="2"/>
  <c r="G203" i="2"/>
  <c r="G322" i="2"/>
  <c r="G147" i="2"/>
  <c r="G321" i="2"/>
  <c r="G115" i="2"/>
  <c r="G77" i="2"/>
  <c r="G55" i="2"/>
  <c r="G80" i="2"/>
  <c r="G60" i="2"/>
  <c r="G117" i="2"/>
  <c r="G85" i="2"/>
  <c r="G105" i="2"/>
  <c r="G95" i="2"/>
  <c r="G90" i="2"/>
  <c r="G131" i="2"/>
  <c r="G62" i="2"/>
  <c r="G70" i="2"/>
  <c r="G87" i="2"/>
  <c r="G83" i="2"/>
  <c r="G124" i="2"/>
  <c r="G98" i="2"/>
  <c r="G121" i="2"/>
  <c r="G59" i="2"/>
  <c r="G132" i="2"/>
  <c r="G58" i="2"/>
  <c r="G57" i="2"/>
  <c r="G133" i="2"/>
  <c r="G128" i="2"/>
  <c r="G91" i="2"/>
  <c r="G134" i="2"/>
  <c r="G53" i="2"/>
  <c r="G76" i="2"/>
  <c r="G111" i="2"/>
  <c r="G86" i="2"/>
  <c r="G56" i="2"/>
  <c r="G130" i="2"/>
  <c r="G79" i="2"/>
  <c r="G69" i="2"/>
  <c r="G93" i="2"/>
  <c r="G71" i="2"/>
  <c r="G125" i="2"/>
  <c r="G92" i="2"/>
  <c r="G113" i="2"/>
  <c r="G119" i="2"/>
  <c r="G127" i="2"/>
  <c r="G72" i="2"/>
  <c r="G107" i="2"/>
  <c r="G108" i="2"/>
  <c r="G81" i="2"/>
  <c r="G101" i="2"/>
  <c r="G102" i="2"/>
  <c r="G96" i="2"/>
  <c r="G99" i="2"/>
  <c r="G103" i="2"/>
  <c r="G110" i="2"/>
  <c r="G64" i="2"/>
  <c r="G82" i="2"/>
  <c r="G78" i="2"/>
  <c r="G118" i="2"/>
  <c r="G120" i="2"/>
  <c r="G66" i="2"/>
  <c r="G74" i="2"/>
  <c r="G141" i="2"/>
  <c r="G73" i="2"/>
  <c r="G114" i="2"/>
  <c r="G109" i="2"/>
  <c r="G61" i="2"/>
  <c r="G104" i="2"/>
  <c r="G75" i="2"/>
  <c r="G129" i="2"/>
  <c r="G106" i="2"/>
  <c r="G112" i="2"/>
  <c r="G63" i="2"/>
  <c r="G65" i="2"/>
  <c r="G67" i="2"/>
  <c r="G473" i="2"/>
  <c r="G94" i="2"/>
  <c r="G88" i="2"/>
  <c r="G116" i="2"/>
  <c r="G126" i="2"/>
  <c r="G89" i="2"/>
  <c r="G68" i="2"/>
  <c r="G100" i="2"/>
  <c r="G123" i="2"/>
  <c r="G54" i="2"/>
  <c r="G97" i="2"/>
  <c r="G122" i="2"/>
  <c r="G84" i="2"/>
  <c r="G320" i="2"/>
  <c r="G18" i="2"/>
  <c r="G11" i="2"/>
  <c r="G27" i="2"/>
  <c r="G48" i="2"/>
  <c r="G10" i="2"/>
  <c r="G23" i="2"/>
  <c r="G32" i="2"/>
  <c r="G43" i="2"/>
  <c r="G16" i="2"/>
  <c r="G25" i="2"/>
  <c r="G20" i="2"/>
  <c r="G14" i="2"/>
  <c r="G7" i="2"/>
  <c r="G6" i="2"/>
  <c r="G47" i="2"/>
  <c r="G42" i="2"/>
  <c r="G35" i="2"/>
  <c r="G33" i="2"/>
  <c r="G2" i="2"/>
  <c r="G38" i="2"/>
  <c r="G29" i="2"/>
  <c r="G40" i="2"/>
  <c r="G51" i="2"/>
  <c r="G41" i="2"/>
  <c r="G39" i="2"/>
  <c r="G28" i="2"/>
  <c r="G3" i="2"/>
  <c r="G34" i="2"/>
  <c r="G36" i="2"/>
  <c r="G37" i="2"/>
  <c r="G9" i="2"/>
  <c r="G5" i="2"/>
  <c r="G24" i="2"/>
  <c r="G45" i="2"/>
  <c r="G46" i="2"/>
  <c r="G52" i="2"/>
  <c r="G8" i="2"/>
  <c r="G17" i="2"/>
  <c r="G26" i="2"/>
  <c r="G15" i="2"/>
  <c r="G21" i="2"/>
  <c r="G12" i="2"/>
  <c r="G19" i="2"/>
  <c r="G22" i="2"/>
  <c r="G4" i="2"/>
  <c r="G44" i="2"/>
  <c r="G50" i="2"/>
  <c r="G31" i="2"/>
  <c r="G13" i="2"/>
  <c r="G49" i="2"/>
  <c r="G30" i="2"/>
</calcChain>
</file>

<file path=xl/sharedStrings.xml><?xml version="1.0" encoding="utf-8"?>
<sst xmlns="http://schemas.openxmlformats.org/spreadsheetml/2006/main" count="5193" uniqueCount="2492">
  <si>
    <t>Audit ID</t>
  </si>
  <si>
    <t>Certificate Number</t>
  </si>
  <si>
    <t>Version</t>
  </si>
  <si>
    <t>Status</t>
  </si>
  <si>
    <t>Issue Date</t>
  </si>
  <si>
    <t>Expiry Date</t>
  </si>
  <si>
    <t>Audit Type</t>
  </si>
  <si>
    <t>Auditor</t>
  </si>
  <si>
    <t>Start Date</t>
  </si>
  <si>
    <t>End Date</t>
  </si>
  <si>
    <t>A11029</t>
  </si>
  <si>
    <t>Haydon Bawden</t>
  </si>
  <si>
    <t>Passed</t>
  </si>
  <si>
    <t>HVNL Management Plan</t>
  </si>
  <si>
    <t>A11048</t>
  </si>
  <si>
    <t>A11012</t>
  </si>
  <si>
    <t>A11030</t>
  </si>
  <si>
    <t>A11049</t>
  </si>
  <si>
    <t>A11043</t>
  </si>
  <si>
    <t>A11003</t>
  </si>
  <si>
    <t>A11021</t>
  </si>
  <si>
    <t>A11018</t>
  </si>
  <si>
    <t>A11011</t>
  </si>
  <si>
    <t>A11020</t>
  </si>
  <si>
    <t>A11014</t>
  </si>
  <si>
    <t>A11025</t>
  </si>
  <si>
    <t>A11016</t>
  </si>
  <si>
    <t>A11007</t>
  </si>
  <si>
    <t>A11051</t>
  </si>
  <si>
    <t>A11045</t>
  </si>
  <si>
    <t>A11044</t>
  </si>
  <si>
    <t>A11023</t>
  </si>
  <si>
    <t>A11004</t>
  </si>
  <si>
    <t>A11008</t>
  </si>
  <si>
    <t>A11036</t>
  </si>
  <si>
    <t>A11035</t>
  </si>
  <si>
    <t>A11033</t>
  </si>
  <si>
    <t>A11002</t>
  </si>
  <si>
    <t>A11027</t>
  </si>
  <si>
    <t>A11038</t>
  </si>
  <si>
    <t>A11040</t>
  </si>
  <si>
    <t>A11050</t>
  </si>
  <si>
    <t>A11039</t>
  </si>
  <si>
    <t>A11028</t>
  </si>
  <si>
    <t>A11037</t>
  </si>
  <si>
    <t>A11001</t>
  </si>
  <si>
    <t>A11032</t>
  </si>
  <si>
    <t>A11034</t>
  </si>
  <si>
    <t>A11041</t>
  </si>
  <si>
    <t>A11046</t>
  </si>
  <si>
    <t>A11005</t>
  </si>
  <si>
    <t>A11006</t>
  </si>
  <si>
    <t>A11013</t>
  </si>
  <si>
    <t>A11019</t>
  </si>
  <si>
    <t>A11024</t>
  </si>
  <si>
    <t>A11015</t>
  </si>
  <si>
    <t>A11042</t>
  </si>
  <si>
    <t>A11031</t>
  </si>
  <si>
    <t>A11022</t>
  </si>
  <si>
    <t>A11009</t>
  </si>
  <si>
    <t>A11047</t>
  </si>
  <si>
    <t>A11026</t>
  </si>
  <si>
    <t>WHS Management System</t>
  </si>
  <si>
    <t>A11010</t>
  </si>
  <si>
    <t>A11017</t>
  </si>
  <si>
    <t>A11320</t>
  </si>
  <si>
    <t>A11083</t>
  </si>
  <si>
    <t>A11121</t>
  </si>
  <si>
    <t>A11096</t>
  </si>
  <si>
    <t>A11053</t>
  </si>
  <si>
    <t>A11122</t>
  </si>
  <si>
    <t>A11099</t>
  </si>
  <si>
    <t>A11067</t>
  </si>
  <si>
    <t>A11088</t>
  </si>
  <si>
    <t>A11125</t>
  </si>
  <si>
    <t>A11115</t>
  </si>
  <si>
    <t>A11087</t>
  </si>
  <si>
    <t>A11093</t>
  </si>
  <si>
    <t>A11473</t>
  </si>
  <si>
    <t>A11066</t>
  </si>
  <si>
    <t>A11064</t>
  </si>
  <si>
    <t>A11062</t>
  </si>
  <si>
    <t>A11111</t>
  </si>
  <si>
    <t>A11105</t>
  </si>
  <si>
    <t>A11128</t>
  </si>
  <si>
    <t>A11074</t>
  </si>
  <si>
    <t>A11103</t>
  </si>
  <si>
    <t>A11060</t>
  </si>
  <si>
    <t>A11108</t>
  </si>
  <si>
    <t>A11113</t>
  </si>
  <si>
    <t>A11072</t>
  </si>
  <si>
    <t>A11140</t>
  </si>
  <si>
    <t>A11073</t>
  </si>
  <si>
    <t>A11065</t>
  </si>
  <si>
    <t>A11119</t>
  </si>
  <si>
    <t>A11117</t>
  </si>
  <si>
    <t>A11077</t>
  </si>
  <si>
    <t>A11081</t>
  </si>
  <si>
    <t>A11063</t>
  </si>
  <si>
    <t>A11109</t>
  </si>
  <si>
    <t>A11102</t>
  </si>
  <si>
    <t>A11098</t>
  </si>
  <si>
    <t>A11095</t>
  </si>
  <si>
    <t>A11101</t>
  </si>
  <si>
    <t>A11100</t>
  </si>
  <si>
    <t>A11080</t>
  </si>
  <si>
    <t>A11107</t>
  </si>
  <si>
    <t>A11106</t>
  </si>
  <si>
    <t>A11071</t>
  </si>
  <si>
    <t>A11126</t>
  </si>
  <si>
    <t>A11118</t>
  </si>
  <si>
    <t>A11112</t>
  </si>
  <si>
    <t>A11091</t>
  </si>
  <si>
    <t>A11124</t>
  </si>
  <si>
    <t>A11070</t>
  </si>
  <si>
    <t>A11092</t>
  </si>
  <si>
    <t>A11068</t>
  </si>
  <si>
    <t>A11078</t>
  </si>
  <si>
    <t>A11129</t>
  </si>
  <si>
    <t>A11055</t>
  </si>
  <si>
    <t>A11085</t>
  </si>
  <si>
    <t>A11110</t>
  </si>
  <si>
    <t>A11075</t>
  </si>
  <si>
    <t>A11052</t>
  </si>
  <si>
    <t>A11133</t>
  </si>
  <si>
    <t>A11090</t>
  </si>
  <si>
    <t>A11127</t>
  </si>
  <si>
    <t>A11132</t>
  </si>
  <si>
    <t>A11056</t>
  </si>
  <si>
    <t>A11057</t>
  </si>
  <si>
    <t>A11131</t>
  </si>
  <si>
    <t>A11058</t>
  </si>
  <si>
    <t>A11120</t>
  </si>
  <si>
    <t>A11097</t>
  </si>
  <si>
    <t>A11123</t>
  </si>
  <si>
    <t>A11082</t>
  </si>
  <si>
    <t>A11086</t>
  </si>
  <si>
    <t>A11069</t>
  </si>
  <si>
    <t>A11061</t>
  </si>
  <si>
    <t>A11130</t>
  </si>
  <si>
    <t>A11089</t>
  </si>
  <si>
    <t>A11094</t>
  </si>
  <si>
    <t>A11104</t>
  </si>
  <si>
    <t>A11084</t>
  </si>
  <si>
    <t>A11116</t>
  </si>
  <si>
    <t>A11059</t>
  </si>
  <si>
    <t>A11079</t>
  </si>
  <si>
    <t>A11054</t>
  </si>
  <si>
    <t>A11076</t>
  </si>
  <si>
    <t>A11114</t>
  </si>
  <si>
    <t>A11321</t>
  </si>
  <si>
    <t>A11146</t>
  </si>
  <si>
    <t>A11322</t>
  </si>
  <si>
    <t>A11202</t>
  </si>
  <si>
    <t>A11160</t>
  </si>
  <si>
    <t>A11192</t>
  </si>
  <si>
    <t>A11163</t>
  </si>
  <si>
    <t>A11241</t>
  </si>
  <si>
    <t>A11148</t>
  </si>
  <si>
    <t>A11170</t>
  </si>
  <si>
    <t>A11136</t>
  </si>
  <si>
    <t>A11177</t>
  </si>
  <si>
    <t>A11152</t>
  </si>
  <si>
    <t>A11169</t>
  </si>
  <si>
    <t>A11191</t>
  </si>
  <si>
    <t>A11147</t>
  </si>
  <si>
    <t>A11196</t>
  </si>
  <si>
    <t>A11145</t>
  </si>
  <si>
    <t>A11186</t>
  </si>
  <si>
    <t>A11150</t>
  </si>
  <si>
    <t>A11214</t>
  </si>
  <si>
    <t>A11161</t>
  </si>
  <si>
    <t>A11158</t>
  </si>
  <si>
    <t>A11189</t>
  </si>
  <si>
    <t>A11165</t>
  </si>
  <si>
    <t>A11174</t>
  </si>
  <si>
    <t>A11172</t>
  </si>
  <si>
    <t>A11156</t>
  </si>
  <si>
    <t>A11203</t>
  </si>
  <si>
    <t>A11142</t>
  </si>
  <si>
    <t>A11151</t>
  </si>
  <si>
    <t>A11212</t>
  </si>
  <si>
    <t>A11180</t>
  </si>
  <si>
    <t>A11187</t>
  </si>
  <si>
    <t>A11139</t>
  </si>
  <si>
    <t>A11179</t>
  </si>
  <si>
    <t>A11185</t>
  </si>
  <si>
    <t>A11171</t>
  </si>
  <si>
    <t>A11198</t>
  </si>
  <si>
    <t>A11162</t>
  </si>
  <si>
    <t>A11205</t>
  </si>
  <si>
    <t>A11197</t>
  </si>
  <si>
    <t>A11194</t>
  </si>
  <si>
    <t>A11144</t>
  </si>
  <si>
    <t>A11211</t>
  </si>
  <si>
    <t>A11176</t>
  </si>
  <si>
    <t>A11167</t>
  </si>
  <si>
    <t>A11164</t>
  </si>
  <si>
    <t>A11175</t>
  </si>
  <si>
    <t>A11178</t>
  </si>
  <si>
    <t>A11201</t>
  </si>
  <si>
    <t>A11137</t>
  </si>
  <si>
    <t>A11213</t>
  </si>
  <si>
    <t>A11183</t>
  </si>
  <si>
    <t>A11157</t>
  </si>
  <si>
    <t>A11193</t>
  </si>
  <si>
    <t>A11166</t>
  </si>
  <si>
    <t>A11208</t>
  </si>
  <si>
    <t>A11190</t>
  </si>
  <si>
    <t>A11141</t>
  </si>
  <si>
    <t>A11138</t>
  </si>
  <si>
    <t>A11200</t>
  </si>
  <si>
    <t>A11135</t>
  </si>
  <si>
    <t>A11153</t>
  </si>
  <si>
    <t>A11206</t>
  </si>
  <si>
    <t>A11184</t>
  </si>
  <si>
    <t>A11199</t>
  </si>
  <si>
    <t>A11181</t>
  </si>
  <si>
    <t>A11168</t>
  </si>
  <si>
    <t>A11210</t>
  </si>
  <si>
    <t>A11155</t>
  </si>
  <si>
    <t>A11209</t>
  </si>
  <si>
    <t>A11195</t>
  </si>
  <si>
    <t>A11154</t>
  </si>
  <si>
    <t>A11188</t>
  </si>
  <si>
    <t>A11207</t>
  </si>
  <si>
    <t>A11149</t>
  </si>
  <si>
    <t>A11134</t>
  </si>
  <si>
    <t>A11159</t>
  </si>
  <si>
    <t>A11143</t>
  </si>
  <si>
    <t>A11173</t>
  </si>
  <si>
    <t>A11182</t>
  </si>
  <si>
    <t>A11287</t>
  </si>
  <si>
    <t>A11244</t>
  </si>
  <si>
    <t>A11296</t>
  </si>
  <si>
    <t>A11248</t>
  </si>
  <si>
    <t>A11297</t>
  </si>
  <si>
    <t>A11245</t>
  </si>
  <si>
    <t>A11219</t>
  </si>
  <si>
    <t>A11284</t>
  </si>
  <si>
    <t>A11258</t>
  </si>
  <si>
    <t>A11260</t>
  </si>
  <si>
    <t>A11271</t>
  </si>
  <si>
    <t>A11274</t>
  </si>
  <si>
    <t>A11216</t>
  </si>
  <si>
    <t>A11229</t>
  </si>
  <si>
    <t>A11266</t>
  </si>
  <si>
    <t>A11275</t>
  </si>
  <si>
    <t>A11226</t>
  </si>
  <si>
    <t>A11273</t>
  </si>
  <si>
    <t>A11247</t>
  </si>
  <si>
    <t>A11288</t>
  </si>
  <si>
    <t>A11237</t>
  </si>
  <si>
    <t>A11267</t>
  </si>
  <si>
    <t>A11263</t>
  </si>
  <si>
    <t>A11221</t>
  </si>
  <si>
    <t>A11239</t>
  </si>
  <si>
    <t>A11285</t>
  </si>
  <si>
    <t>A11233</t>
  </si>
  <si>
    <t>A11303</t>
  </si>
  <si>
    <t>A11280</t>
  </si>
  <si>
    <t>A11313</t>
  </si>
  <si>
    <t>A11223</t>
  </si>
  <si>
    <t>A11230</t>
  </si>
  <si>
    <t>A11253</t>
  </si>
  <si>
    <t>A11295</t>
  </si>
  <si>
    <t>A11294</t>
  </si>
  <si>
    <t>A11262</t>
  </si>
  <si>
    <t>A11281</t>
  </si>
  <si>
    <t>A11246</t>
  </si>
  <si>
    <t>A11265</t>
  </si>
  <si>
    <t>A11251</t>
  </si>
  <si>
    <t>A11215</t>
  </si>
  <si>
    <t>A11277</t>
  </si>
  <si>
    <t>A11257</t>
  </si>
  <si>
    <t>A11276</t>
  </si>
  <si>
    <t>A11255</t>
  </si>
  <si>
    <t>A11252</t>
  </si>
  <si>
    <t>A11283</t>
  </si>
  <si>
    <t>A11231</t>
  </si>
  <si>
    <t>A11278</t>
  </si>
  <si>
    <t>A11328</t>
  </si>
  <si>
    <t>A11240</t>
  </si>
  <si>
    <t>A11236</t>
  </si>
  <si>
    <t>A11269</t>
  </si>
  <si>
    <t>A11224</t>
  </si>
  <si>
    <t>A11254</t>
  </si>
  <si>
    <t>A11222</t>
  </si>
  <si>
    <t>A11256</t>
  </si>
  <si>
    <t>A11377</t>
  </si>
  <si>
    <t>A11238</t>
  </si>
  <si>
    <t>A11259</t>
  </si>
  <si>
    <t>A11293</t>
  </si>
  <si>
    <t>A11218</t>
  </si>
  <si>
    <t>A11217</t>
  </si>
  <si>
    <t>A11286</t>
  </si>
  <si>
    <t>A11232</t>
  </si>
  <si>
    <t>A11270</t>
  </si>
  <si>
    <t>A11234</t>
  </si>
  <si>
    <t>A11292</t>
  </si>
  <si>
    <t>A11272</t>
  </si>
  <si>
    <t>A11282</t>
  </si>
  <si>
    <t>A11318</t>
  </si>
  <si>
    <t>A11249</t>
  </si>
  <si>
    <t>A11290</t>
  </si>
  <si>
    <t>A11243</t>
  </si>
  <si>
    <t>A11289</t>
  </si>
  <si>
    <t>A11204</t>
  </si>
  <si>
    <t>A11308</t>
  </si>
  <si>
    <t>A11291</t>
  </si>
  <si>
    <t>A11268</t>
  </si>
  <si>
    <t>A11220</t>
  </si>
  <si>
    <t>A11242</t>
  </si>
  <si>
    <t>A11225</t>
  </si>
  <si>
    <t>A11228</t>
  </si>
  <si>
    <t>A11264</t>
  </si>
  <si>
    <t>A11235</t>
  </si>
  <si>
    <t>A11261</t>
  </si>
  <si>
    <t>A11250</t>
  </si>
  <si>
    <t>A11279</t>
  </si>
  <si>
    <t>A11319</t>
  </si>
  <si>
    <t>WHSEQ Integrated Management System</t>
  </si>
  <si>
    <t>A11407</t>
  </si>
  <si>
    <t>A11345</t>
  </si>
  <si>
    <t>A11386</t>
  </si>
  <si>
    <t>A11382</t>
  </si>
  <si>
    <t>A11350</t>
  </si>
  <si>
    <t>A11420</t>
  </si>
  <si>
    <t>A11344</t>
  </si>
  <si>
    <t>A11306</t>
  </si>
  <si>
    <t>A11357</t>
  </si>
  <si>
    <t>A11349</t>
  </si>
  <si>
    <t>A11353</t>
  </si>
  <si>
    <t>A11372</t>
  </si>
  <si>
    <t>A11352</t>
  </si>
  <si>
    <t>A11381</t>
  </si>
  <si>
    <t>A11310</t>
  </si>
  <si>
    <t>A11327</t>
  </si>
  <si>
    <t>A11373</t>
  </si>
  <si>
    <t>A11299</t>
  </si>
  <si>
    <t>A11359</t>
  </si>
  <si>
    <t>A11340</t>
  </si>
  <si>
    <t>A11326</t>
  </si>
  <si>
    <t>A11360</t>
  </si>
  <si>
    <t>A11315</t>
  </si>
  <si>
    <t>A11384</t>
  </si>
  <si>
    <t>A11371</t>
  </si>
  <si>
    <t>A11378</t>
  </si>
  <si>
    <t>A11403</t>
  </si>
  <si>
    <t>A11346</t>
  </si>
  <si>
    <t>A11336</t>
  </si>
  <si>
    <t>A11388</t>
  </si>
  <si>
    <t>A11363</t>
  </si>
  <si>
    <t>A11368</t>
  </si>
  <si>
    <t>A11298</t>
  </si>
  <si>
    <t>A11325</t>
  </si>
  <si>
    <t>A11485</t>
  </si>
  <si>
    <t>A11364</t>
  </si>
  <si>
    <t>A11404</t>
  </si>
  <si>
    <t>A11380</t>
  </si>
  <si>
    <t>A11390</t>
  </si>
  <si>
    <t>A11385</t>
  </si>
  <si>
    <t>A11408</t>
  </si>
  <si>
    <t>A11305</t>
  </si>
  <si>
    <t>A11358</t>
  </si>
  <si>
    <t>A11411</t>
  </si>
  <si>
    <t>A11409</t>
  </si>
  <si>
    <t>A11334</t>
  </si>
  <si>
    <t>A11375</t>
  </si>
  <si>
    <t>A11370</t>
  </si>
  <si>
    <t>A11400</t>
  </si>
  <si>
    <t>A11342</t>
  </si>
  <si>
    <t>A11333</t>
  </si>
  <si>
    <t>A11317</t>
  </si>
  <si>
    <t>A11413</t>
  </si>
  <si>
    <t>A11393</t>
  </si>
  <si>
    <t>A11392</t>
  </si>
  <si>
    <t>A11396</t>
  </si>
  <si>
    <t>A11331</t>
  </si>
  <si>
    <t>A11355</t>
  </si>
  <si>
    <t>A11383</t>
  </si>
  <si>
    <t>A11391</t>
  </si>
  <si>
    <t>A11387</t>
  </si>
  <si>
    <t>A11414</t>
  </si>
  <si>
    <t>A11347</t>
  </si>
  <si>
    <t>A11304</t>
  </si>
  <si>
    <t>A11394</t>
  </si>
  <si>
    <t>A11397</t>
  </si>
  <si>
    <t>A11343</t>
  </si>
  <si>
    <t>A11341</t>
  </si>
  <si>
    <t>A11332</t>
  </si>
  <si>
    <t>A11307</t>
  </si>
  <si>
    <t>A11365</t>
  </si>
  <si>
    <t>A11354</t>
  </si>
  <si>
    <t>A11351</t>
  </si>
  <si>
    <t>A11415</t>
  </si>
  <si>
    <t>A11356</t>
  </si>
  <si>
    <t>A11406</t>
  </si>
  <si>
    <t>A11300</t>
  </si>
  <si>
    <t>A11338</t>
  </si>
  <si>
    <t>A11314</t>
  </si>
  <si>
    <t>A11412</t>
  </si>
  <si>
    <t>A11405</t>
  </si>
  <si>
    <t>A11316</t>
  </si>
  <si>
    <t>A11323</t>
  </si>
  <si>
    <t>A11374</t>
  </si>
  <si>
    <t>A11329</t>
  </si>
  <si>
    <t>A11389</t>
  </si>
  <si>
    <t>A11398</t>
  </si>
  <si>
    <t>A11366</t>
  </si>
  <si>
    <t>A11361</t>
  </si>
  <si>
    <t>A11302</t>
  </si>
  <si>
    <t>A11309</t>
  </si>
  <si>
    <t>A11421</t>
  </si>
  <si>
    <t>A11335</t>
  </si>
  <si>
    <t>A11402</t>
  </si>
  <si>
    <t>A11410</t>
  </si>
  <si>
    <t>A11312</t>
  </si>
  <si>
    <t>A11311</t>
  </si>
  <si>
    <t>A11399</t>
  </si>
  <si>
    <t>A11395</t>
  </si>
  <si>
    <t>A11376</t>
  </si>
  <si>
    <t>A11301</t>
  </si>
  <si>
    <t>A11348</t>
  </si>
  <si>
    <t>A11337</t>
  </si>
  <si>
    <t>A11324</t>
  </si>
  <si>
    <t>A11369</t>
  </si>
  <si>
    <t>A11330</t>
  </si>
  <si>
    <t>A11362</t>
  </si>
  <si>
    <t>A11401</t>
  </si>
  <si>
    <t>A11379</t>
  </si>
  <si>
    <t>A11367</t>
  </si>
  <si>
    <t>A11446</t>
  </si>
  <si>
    <t>A11422</t>
  </si>
  <si>
    <t>A11466</t>
  </si>
  <si>
    <t>A11469</t>
  </si>
  <si>
    <t>A11463</t>
  </si>
  <si>
    <t>A11464</t>
  </si>
  <si>
    <t>A11460</t>
  </si>
  <si>
    <t>A11489</t>
  </si>
  <si>
    <t>A11423</t>
  </si>
  <si>
    <t>A11435</t>
  </si>
  <si>
    <t>A11447</t>
  </si>
  <si>
    <t>A11483</t>
  </si>
  <si>
    <t>A11501</t>
  </si>
  <si>
    <t>A11461</t>
  </si>
  <si>
    <t>A11449</t>
  </si>
  <si>
    <t>A11427</t>
  </si>
  <si>
    <t>A11454</t>
  </si>
  <si>
    <t>A11444</t>
  </si>
  <si>
    <t>A11433</t>
  </si>
  <si>
    <t>A11491</t>
  </si>
  <si>
    <t>A11495</t>
  </si>
  <si>
    <t>A11500</t>
  </si>
  <si>
    <t>A11443</t>
  </si>
  <si>
    <t>A11474</t>
  </si>
  <si>
    <t>A11482</t>
  </si>
  <si>
    <t>A11478</t>
  </si>
  <si>
    <t>A11439</t>
  </si>
  <si>
    <t>A11417</t>
  </si>
  <si>
    <t>A11442</t>
  </si>
  <si>
    <t>A11502</t>
  </si>
  <si>
    <t>A11475</t>
  </si>
  <si>
    <t>A11428</t>
  </si>
  <si>
    <t>A11498</t>
  </si>
  <si>
    <t>A11425</t>
  </si>
  <si>
    <t>A11458</t>
  </si>
  <si>
    <t>A11472</t>
  </si>
  <si>
    <t>A11477</t>
  </si>
  <si>
    <t>A11507</t>
  </si>
  <si>
    <t>A11452</t>
  </si>
  <si>
    <t>A11453</t>
  </si>
  <si>
    <t>A11504</t>
  </si>
  <si>
    <t>A11481</t>
  </si>
  <si>
    <t>A11480</t>
  </si>
  <si>
    <t>A11429</t>
  </si>
  <si>
    <t>A11438</t>
  </si>
  <si>
    <t>A11434</t>
  </si>
  <si>
    <t>A11455</t>
  </si>
  <si>
    <t>A11456</t>
  </si>
  <si>
    <t>A11471</t>
  </si>
  <si>
    <t>A11486</t>
  </si>
  <si>
    <t>A11462</t>
  </si>
  <si>
    <t>A11494</t>
  </si>
  <si>
    <t>A11445</t>
  </si>
  <si>
    <t>A11416</t>
  </si>
  <si>
    <t>A11492</t>
  </si>
  <si>
    <t>A11499</t>
  </si>
  <si>
    <t>A11457</t>
  </si>
  <si>
    <t>A11451</t>
  </si>
  <si>
    <t>A11440</t>
  </si>
  <si>
    <t>A11490</t>
  </si>
  <si>
    <t>A11459</t>
  </si>
  <si>
    <t>A11468</t>
  </si>
  <si>
    <t>A11418</t>
  </si>
  <si>
    <t>A11450</t>
  </si>
  <si>
    <t>A11484</t>
  </si>
  <si>
    <t>A11431</t>
  </si>
  <si>
    <t>A11430</t>
  </si>
  <si>
    <t>A11467</t>
  </si>
  <si>
    <t>A11488</t>
  </si>
  <si>
    <t>A11436</t>
  </si>
  <si>
    <t>A11487</t>
  </si>
  <si>
    <t>A11426</t>
  </si>
  <si>
    <t>A11441</t>
  </si>
  <si>
    <t>A11503</t>
  </si>
  <si>
    <t>A11506</t>
  </si>
  <si>
    <t>A11424</t>
  </si>
  <si>
    <t>A11505</t>
  </si>
  <si>
    <t>A11465</t>
  </si>
  <si>
    <t>A11339</t>
  </si>
  <si>
    <t>A11493</t>
  </si>
  <si>
    <t>A11476</t>
  </si>
  <si>
    <t>A11497</t>
  </si>
  <si>
    <t>A11419</t>
  </si>
  <si>
    <t>A11448</t>
  </si>
  <si>
    <t>A11432</t>
  </si>
  <si>
    <t>A11479</t>
  </si>
  <si>
    <t>A11437</t>
  </si>
  <si>
    <t>A11496</t>
  </si>
  <si>
    <t>A11470</t>
  </si>
  <si>
    <t>Certificate UID</t>
  </si>
  <si>
    <t>Notes</t>
  </si>
  <si>
    <t>CAA11029-1</t>
  </si>
  <si>
    <t>CAA11029</t>
  </si>
  <si>
    <t>Active</t>
  </si>
  <si>
    <t>CAA11048-1</t>
  </si>
  <si>
    <t>CAA11048</t>
  </si>
  <si>
    <t>CAA11012-1</t>
  </si>
  <si>
    <t>CAA11012</t>
  </si>
  <si>
    <t>CAA11030-1</t>
  </si>
  <si>
    <t>CAA11030</t>
  </si>
  <si>
    <t>CAA11049-1</t>
  </si>
  <si>
    <t>CAA11049</t>
  </si>
  <si>
    <t>CAA11043-1</t>
  </si>
  <si>
    <t>CAA11043</t>
  </si>
  <si>
    <t>CAA11003-1</t>
  </si>
  <si>
    <t>CAA11003</t>
  </si>
  <si>
    <t>CAA11021-1</t>
  </si>
  <si>
    <t>CAA11021</t>
  </si>
  <si>
    <t>CAA11018-1</t>
  </si>
  <si>
    <t>CAA11018</t>
  </si>
  <si>
    <t>CAA11011-1</t>
  </si>
  <si>
    <t>CAA11011</t>
  </si>
  <si>
    <t>CAA11020-1</t>
  </si>
  <si>
    <t>CAA11020</t>
  </si>
  <si>
    <t>CAA11014-1</t>
  </si>
  <si>
    <t>CAA11014</t>
  </si>
  <si>
    <t>CAA11025-1</t>
  </si>
  <si>
    <t>CAA11025</t>
  </si>
  <si>
    <t>CAA11016-1</t>
  </si>
  <si>
    <t>CAA11016</t>
  </si>
  <si>
    <t>CAA11007-1</t>
  </si>
  <si>
    <t>CAA11007</t>
  </si>
  <si>
    <t>CAA11051-1</t>
  </si>
  <si>
    <t>CAA11051</t>
  </si>
  <si>
    <t>CAA11045-1</t>
  </si>
  <si>
    <t>CAA11045</t>
  </si>
  <si>
    <t>CAA11044-1</t>
  </si>
  <si>
    <t>CAA11044</t>
  </si>
  <si>
    <t>CAA11023-1</t>
  </si>
  <si>
    <t>CAA11023</t>
  </si>
  <si>
    <t>CAA11004-1</t>
  </si>
  <si>
    <t>CAA11004</t>
  </si>
  <si>
    <t>CAA11008-1</t>
  </si>
  <si>
    <t>CAA11008</t>
  </si>
  <si>
    <t>CAA11036-1</t>
  </si>
  <si>
    <t>CAA11036</t>
  </si>
  <si>
    <t>CAA11035-1</t>
  </si>
  <si>
    <t>CAA11035</t>
  </si>
  <si>
    <t>CAA11033-1</t>
  </si>
  <si>
    <t>CAA11033</t>
  </si>
  <si>
    <t>CAA11002-1</t>
  </si>
  <si>
    <t>CAA11002</t>
  </si>
  <si>
    <t>CAA11027-1</t>
  </si>
  <si>
    <t>CAA11027</t>
  </si>
  <si>
    <t>CAA11038-1</t>
  </si>
  <si>
    <t>CAA11038</t>
  </si>
  <si>
    <t>CAA11040-1</t>
  </si>
  <si>
    <t>CAA11040</t>
  </si>
  <si>
    <t>CAA11050-1</t>
  </si>
  <si>
    <t>CAA11050</t>
  </si>
  <si>
    <t>CAA11039-1</t>
  </si>
  <si>
    <t>CAA11039</t>
  </si>
  <si>
    <t>CAA11028-1</t>
  </si>
  <si>
    <t>CAA11028</t>
  </si>
  <si>
    <t>CAA11037-1</t>
  </si>
  <si>
    <t>CAA11037</t>
  </si>
  <si>
    <t>CAA11001-1</t>
  </si>
  <si>
    <t>CAA11001</t>
  </si>
  <si>
    <t>CAA11032-1</t>
  </si>
  <si>
    <t>CAA11032</t>
  </si>
  <si>
    <t>CAA11034-1</t>
  </si>
  <si>
    <t>CAA11034</t>
  </si>
  <si>
    <t>CAA11041-1</t>
  </si>
  <si>
    <t>CAA11041</t>
  </si>
  <si>
    <t>CAA11046-1</t>
  </si>
  <si>
    <t>CAA11046</t>
  </si>
  <si>
    <t>CAA11005-1</t>
  </si>
  <si>
    <t>CAA11005</t>
  </si>
  <si>
    <t>CAA11006-1</t>
  </si>
  <si>
    <t>CAA11006</t>
  </si>
  <si>
    <t>CAA11013-1</t>
  </si>
  <si>
    <t>CAA11013</t>
  </si>
  <si>
    <t>CAA11019-1</t>
  </si>
  <si>
    <t>CAA11019</t>
  </si>
  <si>
    <t>CAA11024-1</t>
  </si>
  <si>
    <t>CAA11024</t>
  </si>
  <si>
    <t>CAA11015-1</t>
  </si>
  <si>
    <t>CAA11015</t>
  </si>
  <si>
    <t>CAA11042-1</t>
  </si>
  <si>
    <t>CAA11042</t>
  </si>
  <si>
    <t>CAA11031-1</t>
  </si>
  <si>
    <t>CAA11031</t>
  </si>
  <si>
    <t>CAA11022-1</t>
  </si>
  <si>
    <t>CAA11022</t>
  </si>
  <si>
    <t>CAA11009-1</t>
  </si>
  <si>
    <t>CAA11009</t>
  </si>
  <si>
    <t>CAA11047-1</t>
  </si>
  <si>
    <t>CAA11047</t>
  </si>
  <si>
    <t>CAA11026-1</t>
  </si>
  <si>
    <t>CAA11026</t>
  </si>
  <si>
    <t>CAA11010-1</t>
  </si>
  <si>
    <t>CAA11010</t>
  </si>
  <si>
    <t>CAA11017-1</t>
  </si>
  <si>
    <t>CAA11017</t>
  </si>
  <si>
    <t>CAA11320-1</t>
  </si>
  <si>
    <t>CAA11320</t>
  </si>
  <si>
    <t>CAA11083-1</t>
  </si>
  <si>
    <t>CAA11083</t>
  </si>
  <si>
    <t>CAA11121-1</t>
  </si>
  <si>
    <t>CAA11121</t>
  </si>
  <si>
    <t>CAA11096-1</t>
  </si>
  <si>
    <t>CAA11096</t>
  </si>
  <si>
    <t>CAA11053-1</t>
  </si>
  <si>
    <t>CAA11053</t>
  </si>
  <si>
    <t>CAA11122-1</t>
  </si>
  <si>
    <t>CAA11122</t>
  </si>
  <si>
    <t>CAA11099-1</t>
  </si>
  <si>
    <t>CAA11099</t>
  </si>
  <si>
    <t>CAA11067-1</t>
  </si>
  <si>
    <t>CAA11067</t>
  </si>
  <si>
    <t>CAA11088-1</t>
  </si>
  <si>
    <t>CAA11088</t>
  </si>
  <si>
    <t>CAA11125-1</t>
  </si>
  <si>
    <t>CAA11125</t>
  </si>
  <si>
    <t>CAA11115-1</t>
  </si>
  <si>
    <t>CAA11115</t>
  </si>
  <si>
    <t>CAA11087-1</t>
  </si>
  <si>
    <t>CAA11087</t>
  </si>
  <si>
    <t>CAA11093-1</t>
  </si>
  <si>
    <t>CAA11093</t>
  </si>
  <si>
    <t>CAA11473-1</t>
  </si>
  <si>
    <t>CAA11473</t>
  </si>
  <si>
    <t>CAA11066-1</t>
  </si>
  <si>
    <t>CAA11066</t>
  </si>
  <si>
    <t>CAA11064-1</t>
  </si>
  <si>
    <t>CAA11064</t>
  </si>
  <si>
    <t>CAA11062-1</t>
  </si>
  <si>
    <t>CAA11062</t>
  </si>
  <si>
    <t>CAA11111-1</t>
  </si>
  <si>
    <t>CAA11111</t>
  </si>
  <si>
    <t>CAA11105-1</t>
  </si>
  <si>
    <t>CAA11105</t>
  </si>
  <si>
    <t>CAA11128-1</t>
  </si>
  <si>
    <t>CAA11128</t>
  </si>
  <si>
    <t>CAA11074-1</t>
  </si>
  <si>
    <t>CAA11074</t>
  </si>
  <si>
    <t>CAA11103-1</t>
  </si>
  <si>
    <t>CAA11103</t>
  </si>
  <si>
    <t>CAA11060-1</t>
  </si>
  <si>
    <t>CAA11060</t>
  </si>
  <si>
    <t>CAA11108-1</t>
  </si>
  <si>
    <t>CAA11108</t>
  </si>
  <si>
    <t>CAA11113-1</t>
  </si>
  <si>
    <t>CAA11113</t>
  </si>
  <si>
    <t>CAA11072-1</t>
  </si>
  <si>
    <t>CAA11072</t>
  </si>
  <si>
    <t>CAA11140-1</t>
  </si>
  <si>
    <t>CAA11140</t>
  </si>
  <si>
    <t>CAA11073-1</t>
  </si>
  <si>
    <t>CAA11073</t>
  </si>
  <si>
    <t>CAA11065-1</t>
  </si>
  <si>
    <t>CAA11065</t>
  </si>
  <si>
    <t>CAA11119-1</t>
  </si>
  <si>
    <t>CAA11119</t>
  </si>
  <si>
    <t>CAA11117-1</t>
  </si>
  <si>
    <t>CAA11117</t>
  </si>
  <si>
    <t>CAA11077-1</t>
  </si>
  <si>
    <t>CAA11077</t>
  </si>
  <si>
    <t>CAA11081-1</t>
  </si>
  <si>
    <t>CAA11081</t>
  </si>
  <si>
    <t>CAA11063-1</t>
  </si>
  <si>
    <t>CAA11063</t>
  </si>
  <si>
    <t>CAA11109-1</t>
  </si>
  <si>
    <t>CAA11109</t>
  </si>
  <si>
    <t>CAA11102-1</t>
  </si>
  <si>
    <t>CAA11102</t>
  </si>
  <si>
    <t>CAA11098-1</t>
  </si>
  <si>
    <t>CAA11098</t>
  </si>
  <si>
    <t>CAA11095-1</t>
  </si>
  <si>
    <t>CAA11095</t>
  </si>
  <si>
    <t>CAA11101-1</t>
  </si>
  <si>
    <t>CAA11101</t>
  </si>
  <si>
    <t>CAA11100-1</t>
  </si>
  <si>
    <t>CAA11100</t>
  </si>
  <si>
    <t>CAA11080-1</t>
  </si>
  <si>
    <t>CAA11080</t>
  </si>
  <si>
    <t>CAA11107-1</t>
  </si>
  <si>
    <t>CAA11107</t>
  </si>
  <si>
    <t>CAA11106-1</t>
  </si>
  <si>
    <t>CAA11106</t>
  </si>
  <si>
    <t>CAA11071-1</t>
  </si>
  <si>
    <t>CAA11071</t>
  </si>
  <si>
    <t>CAA11126-1</t>
  </si>
  <si>
    <t>CAA11126</t>
  </si>
  <si>
    <t>CAA11118-1</t>
  </si>
  <si>
    <t>CAA11118</t>
  </si>
  <si>
    <t>CAA11112-1</t>
  </si>
  <si>
    <t>CAA11112</t>
  </si>
  <si>
    <t>CAA11091-1</t>
  </si>
  <si>
    <t>CAA11091</t>
  </si>
  <si>
    <t>CAA11124-1</t>
  </si>
  <si>
    <t>CAA11124</t>
  </si>
  <si>
    <t>CAA11070-1</t>
  </si>
  <si>
    <t>CAA11070</t>
  </si>
  <si>
    <t>CAA11092-1</t>
  </si>
  <si>
    <t>CAA11092</t>
  </si>
  <si>
    <t>CAA11068-1</t>
  </si>
  <si>
    <t>CAA11068</t>
  </si>
  <si>
    <t>CAA11078-1</t>
  </si>
  <si>
    <t>CAA11078</t>
  </si>
  <si>
    <t>CAA11129-1</t>
  </si>
  <si>
    <t>CAA11129</t>
  </si>
  <si>
    <t>CAA11055-1</t>
  </si>
  <si>
    <t>CAA11055</t>
  </si>
  <si>
    <t>CAA11085-1</t>
  </si>
  <si>
    <t>CAA11085</t>
  </si>
  <si>
    <t>CAA11110-1</t>
  </si>
  <si>
    <t>CAA11110</t>
  </si>
  <si>
    <t>CAA11075-1</t>
  </si>
  <si>
    <t>CAA11075</t>
  </si>
  <si>
    <t>CAA11052-1</t>
  </si>
  <si>
    <t>CAA11052</t>
  </si>
  <si>
    <t>CAA11133-1</t>
  </si>
  <si>
    <t>CAA11133</t>
  </si>
  <si>
    <t>CAA11090-1</t>
  </si>
  <si>
    <t>CAA11090</t>
  </si>
  <si>
    <t>CAA11127-1</t>
  </si>
  <si>
    <t>CAA11127</t>
  </si>
  <si>
    <t>CAA11132-1</t>
  </si>
  <si>
    <t>CAA11132</t>
  </si>
  <si>
    <t>CAA11056-1</t>
  </si>
  <si>
    <t>CAA11056</t>
  </si>
  <si>
    <t>CAA11057-1</t>
  </si>
  <si>
    <t>CAA11057</t>
  </si>
  <si>
    <t>CAA11131-1</t>
  </si>
  <si>
    <t>CAA11131</t>
  </si>
  <si>
    <t>CAA11058-1</t>
  </si>
  <si>
    <t>CAA11058</t>
  </si>
  <si>
    <t>CAA11120-1</t>
  </si>
  <si>
    <t>CAA11120</t>
  </si>
  <si>
    <t>CAA11097-1</t>
  </si>
  <si>
    <t>CAA11097</t>
  </si>
  <si>
    <t>CAA11123-1</t>
  </si>
  <si>
    <t>CAA11123</t>
  </si>
  <si>
    <t>CAA11082-1</t>
  </si>
  <si>
    <t>CAA11082</t>
  </si>
  <si>
    <t>CAA11086-1</t>
  </si>
  <si>
    <t>CAA11086</t>
  </si>
  <si>
    <t>CAA11069-1</t>
  </si>
  <si>
    <t>CAA11069</t>
  </si>
  <si>
    <t>CAA11061-1</t>
  </si>
  <si>
    <t>CAA11061</t>
  </si>
  <si>
    <t>CAA11130-1</t>
  </si>
  <si>
    <t>CAA11130</t>
  </si>
  <si>
    <t>CAA11089-1</t>
  </si>
  <si>
    <t>CAA11089</t>
  </si>
  <si>
    <t>CAA11094-1</t>
  </si>
  <si>
    <t>CAA11094</t>
  </si>
  <si>
    <t>CAA11104-1</t>
  </si>
  <si>
    <t>CAA11104</t>
  </si>
  <si>
    <t>CAA11084-1</t>
  </si>
  <si>
    <t>CAA11084</t>
  </si>
  <si>
    <t>CAA11116-1</t>
  </si>
  <si>
    <t>CAA11116</t>
  </si>
  <si>
    <t>CAA11059-1</t>
  </si>
  <si>
    <t>CAA11059</t>
  </si>
  <si>
    <t>CAA11079-1</t>
  </si>
  <si>
    <t>CAA11079</t>
  </si>
  <si>
    <t>CAA11054-1</t>
  </si>
  <si>
    <t>CAA11054</t>
  </si>
  <si>
    <t>CAA11076-1</t>
  </si>
  <si>
    <t>CAA11076</t>
  </si>
  <si>
    <t>CAA11114-1</t>
  </si>
  <si>
    <t>CAA11114</t>
  </si>
  <si>
    <t>CAA11321-1</t>
  </si>
  <si>
    <t>CAA11321</t>
  </si>
  <si>
    <t>CAA11146-1</t>
  </si>
  <si>
    <t>CAA11146</t>
  </si>
  <si>
    <t>CAA11322-1</t>
  </si>
  <si>
    <t>CAA11322</t>
  </si>
  <si>
    <t>CAA11202-1</t>
  </si>
  <si>
    <t>CAA11202</t>
  </si>
  <si>
    <t>CAA11160-1</t>
  </si>
  <si>
    <t>CAA11160</t>
  </si>
  <si>
    <t>CAA11192-1</t>
  </si>
  <si>
    <t>CAA11192</t>
  </si>
  <si>
    <t>CAA11163-1</t>
  </si>
  <si>
    <t>CAA11163</t>
  </si>
  <si>
    <t>CAA11241-1</t>
  </si>
  <si>
    <t>CAA11241</t>
  </si>
  <si>
    <t>CAA11148-1</t>
  </si>
  <si>
    <t>CAA11148</t>
  </si>
  <si>
    <t>CAA11170-1</t>
  </si>
  <si>
    <t>CAA11170</t>
  </si>
  <si>
    <t>CAA11136-1</t>
  </si>
  <si>
    <t>CAA11136</t>
  </si>
  <si>
    <t>CAA11177-1</t>
  </si>
  <si>
    <t>CAA11177</t>
  </si>
  <si>
    <t>CAA11152-1</t>
  </si>
  <si>
    <t>CAA11152</t>
  </si>
  <si>
    <t>CAA11169-1</t>
  </si>
  <si>
    <t>CAA11169</t>
  </si>
  <si>
    <t>CAA11191-1</t>
  </si>
  <si>
    <t>CAA11191</t>
  </si>
  <si>
    <t>CAA11147-1</t>
  </si>
  <si>
    <t>CAA11147</t>
  </si>
  <si>
    <t>CAA11196-1</t>
  </si>
  <si>
    <t>CAA11196</t>
  </si>
  <si>
    <t>CAA11145-1</t>
  </si>
  <si>
    <t>CAA11145</t>
  </si>
  <si>
    <t>CAA11186-1</t>
  </si>
  <si>
    <t>CAA11186</t>
  </si>
  <si>
    <t>CAA11150-1</t>
  </si>
  <si>
    <t>CAA11150</t>
  </si>
  <si>
    <t>CAA11214-1</t>
  </si>
  <si>
    <t>CAA11214</t>
  </si>
  <si>
    <t>CAA11161-1</t>
  </si>
  <si>
    <t>CAA11161</t>
  </si>
  <si>
    <t>CAA11158-1</t>
  </si>
  <si>
    <t>CAA11158</t>
  </si>
  <si>
    <t>CAA11189-1</t>
  </si>
  <si>
    <t>CAA11189</t>
  </si>
  <si>
    <t>CAA11165-1</t>
  </si>
  <si>
    <t>CAA11165</t>
  </si>
  <si>
    <t>CAA11174-1</t>
  </si>
  <si>
    <t>CAA11174</t>
  </si>
  <si>
    <t>CAA11172-1</t>
  </si>
  <si>
    <t>CAA11172</t>
  </si>
  <si>
    <t>CAA11156-1</t>
  </si>
  <si>
    <t>CAA11156</t>
  </si>
  <si>
    <t>CAA11203-1</t>
  </si>
  <si>
    <t>CAA11203</t>
  </si>
  <si>
    <t>CAA11142-1</t>
  </si>
  <si>
    <t>CAA11142</t>
  </si>
  <si>
    <t>CAA11151-1</t>
  </si>
  <si>
    <t>CAA11151</t>
  </si>
  <si>
    <t>CAA11212-1</t>
  </si>
  <si>
    <t>CAA11212</t>
  </si>
  <si>
    <t>CAA11180-1</t>
  </si>
  <si>
    <t>CAA11180</t>
  </si>
  <si>
    <t>CAA11187-1</t>
  </si>
  <si>
    <t>CAA11187</t>
  </si>
  <si>
    <t>CAA11139-1</t>
  </si>
  <si>
    <t>CAA11139</t>
  </si>
  <si>
    <t>CAA11179-1</t>
  </si>
  <si>
    <t>CAA11179</t>
  </si>
  <si>
    <t>CAA11185-1</t>
  </si>
  <si>
    <t>CAA11185</t>
  </si>
  <si>
    <t>CAA11171-1</t>
  </si>
  <si>
    <t>CAA11171</t>
  </si>
  <si>
    <t>CAA11198-1</t>
  </si>
  <si>
    <t>CAA11198</t>
  </si>
  <si>
    <t>CAA11162-1</t>
  </si>
  <si>
    <t>CAA11162</t>
  </si>
  <si>
    <t>CAA11205-1</t>
  </si>
  <si>
    <t>CAA11205</t>
  </si>
  <si>
    <t>CAA11197-1</t>
  </si>
  <si>
    <t>CAA11197</t>
  </si>
  <si>
    <t>CAA11194-1</t>
  </si>
  <si>
    <t>CAA11194</t>
  </si>
  <si>
    <t>CAA11144-1</t>
  </si>
  <si>
    <t>CAA11144</t>
  </si>
  <si>
    <t>CAA11211-1</t>
  </si>
  <si>
    <t>CAA11211</t>
  </si>
  <si>
    <t>CAA11176-1</t>
  </si>
  <si>
    <t>CAA11176</t>
  </si>
  <si>
    <t>CAA11167-1</t>
  </si>
  <si>
    <t>CAA11167</t>
  </si>
  <si>
    <t>CAA11164-1</t>
  </si>
  <si>
    <t>CAA11164</t>
  </si>
  <si>
    <t>CAA11175-1</t>
  </si>
  <si>
    <t>CAA11175</t>
  </si>
  <si>
    <t>CAA11178-1</t>
  </si>
  <si>
    <t>CAA11178</t>
  </si>
  <si>
    <t>CAA11201-1</t>
  </si>
  <si>
    <t>CAA11201</t>
  </si>
  <si>
    <t>CAA11137-1</t>
  </si>
  <si>
    <t>CAA11137</t>
  </si>
  <si>
    <t>CAA11213-1</t>
  </si>
  <si>
    <t>CAA11213</t>
  </si>
  <si>
    <t>CAA11183-1</t>
  </si>
  <si>
    <t>CAA11183</t>
  </si>
  <si>
    <t>CAA11157-1</t>
  </si>
  <si>
    <t>CAA11157</t>
  </si>
  <si>
    <t>CAA11193-1</t>
  </si>
  <si>
    <t>CAA11193</t>
  </si>
  <si>
    <t>CAA11166-1</t>
  </si>
  <si>
    <t>CAA11166</t>
  </si>
  <si>
    <t>CAA11208-1</t>
  </si>
  <si>
    <t>CAA11208</t>
  </si>
  <si>
    <t>CAA11190-1</t>
  </si>
  <si>
    <t>CAA11190</t>
  </si>
  <si>
    <t>CAA11141-1</t>
  </si>
  <si>
    <t>CAA11141</t>
  </si>
  <si>
    <t>CAA11138-1</t>
  </si>
  <si>
    <t>CAA11138</t>
  </si>
  <si>
    <t>CAA11200-1</t>
  </si>
  <si>
    <t>CAA11200</t>
  </si>
  <si>
    <t>CAA11135-1</t>
  </si>
  <si>
    <t>CAA11135</t>
  </si>
  <si>
    <t>CAA11153-1</t>
  </si>
  <si>
    <t>CAA11153</t>
  </si>
  <si>
    <t>CAA11206-1</t>
  </si>
  <si>
    <t>CAA11206</t>
  </si>
  <si>
    <t>CAA11184-1</t>
  </si>
  <si>
    <t>CAA11184</t>
  </si>
  <si>
    <t>CAA11199-1</t>
  </si>
  <si>
    <t>CAA11199</t>
  </si>
  <si>
    <t>CAA11181-1</t>
  </si>
  <si>
    <t>CAA11181</t>
  </si>
  <si>
    <t>CAA11168-1</t>
  </si>
  <si>
    <t>CAA11168</t>
  </si>
  <si>
    <t>CAA11210-1</t>
  </si>
  <si>
    <t>CAA11210</t>
  </si>
  <si>
    <t>CAA11155-1</t>
  </si>
  <si>
    <t>CAA11155</t>
  </si>
  <si>
    <t>CAA11209-1</t>
  </si>
  <si>
    <t>CAA11209</t>
  </si>
  <si>
    <t>CAA11195-1</t>
  </si>
  <si>
    <t>CAA11195</t>
  </si>
  <si>
    <t>CAA11154-1</t>
  </si>
  <si>
    <t>CAA11154</t>
  </si>
  <si>
    <t>CAA11188-1</t>
  </si>
  <si>
    <t>CAA11188</t>
  </si>
  <si>
    <t>CAA11207-1</t>
  </si>
  <si>
    <t>CAA11207</t>
  </si>
  <si>
    <t>CAA11149-1</t>
  </si>
  <si>
    <t>CAA11149</t>
  </si>
  <si>
    <t>CAA11134-1</t>
  </si>
  <si>
    <t>CAA11134</t>
  </si>
  <si>
    <t>CAA11159-1</t>
  </si>
  <si>
    <t>CAA11159</t>
  </si>
  <si>
    <t>CAA11143-1</t>
  </si>
  <si>
    <t>CAA11143</t>
  </si>
  <si>
    <t>CAA11173-1</t>
  </si>
  <si>
    <t>CAA11173</t>
  </si>
  <si>
    <t>CAA11182-1</t>
  </si>
  <si>
    <t>CAA11182</t>
  </si>
  <si>
    <t>CAA11287-1</t>
  </si>
  <si>
    <t>CAA11287</t>
  </si>
  <si>
    <t>CAA11244-1</t>
  </si>
  <si>
    <t>CAA11244</t>
  </si>
  <si>
    <t>CAA11296-1</t>
  </si>
  <si>
    <t>CAA11296</t>
  </si>
  <si>
    <t>CAA11248-1</t>
  </si>
  <si>
    <t>CAA11248</t>
  </si>
  <si>
    <t>CAA11297-1</t>
  </si>
  <si>
    <t>CAA11297</t>
  </si>
  <si>
    <t>CAA11245-1</t>
  </si>
  <si>
    <t>CAA11245</t>
  </si>
  <si>
    <t>CAA11219-1</t>
  </si>
  <si>
    <t>CAA11219</t>
  </si>
  <si>
    <t>CAA11284-1</t>
  </si>
  <si>
    <t>CAA11284</t>
  </si>
  <si>
    <t>CAA11258-1</t>
  </si>
  <si>
    <t>CAA11258</t>
  </si>
  <si>
    <t>CAA11260-1</t>
  </si>
  <si>
    <t>CAA11260</t>
  </si>
  <si>
    <t>CAA11271-1</t>
  </si>
  <si>
    <t>CAA11271</t>
  </si>
  <si>
    <t>CAA11274-1</t>
  </si>
  <si>
    <t>CAA11274</t>
  </si>
  <si>
    <t>CAA11216-1</t>
  </si>
  <si>
    <t>CAA11216</t>
  </si>
  <si>
    <t>CAA11229-1</t>
  </si>
  <si>
    <t>CAA11229</t>
  </si>
  <si>
    <t>CAA11266-1</t>
  </si>
  <si>
    <t>CAA11266</t>
  </si>
  <si>
    <t>CAA11275-1</t>
  </si>
  <si>
    <t>CAA11275</t>
  </si>
  <si>
    <t>CAA11226-1</t>
  </si>
  <si>
    <t>CAA11226</t>
  </si>
  <si>
    <t>CAA11273-1</t>
  </si>
  <si>
    <t>CAA11273</t>
  </si>
  <si>
    <t>CAA11247-1</t>
  </si>
  <si>
    <t>CAA11247</t>
  </si>
  <si>
    <t>CAA11288-1</t>
  </si>
  <si>
    <t>CAA11288</t>
  </si>
  <si>
    <t>CAA11237-1</t>
  </si>
  <si>
    <t>CAA11237</t>
  </si>
  <si>
    <t>CAA11267-1</t>
  </si>
  <si>
    <t>CAA11267</t>
  </si>
  <si>
    <t>CAA11263-1</t>
  </si>
  <si>
    <t>CAA11263</t>
  </si>
  <si>
    <t>CAA11221-1</t>
  </si>
  <si>
    <t>CAA11221</t>
  </si>
  <si>
    <t>CAA11239-1</t>
  </si>
  <si>
    <t>CAA11239</t>
  </si>
  <si>
    <t>CAA11285-1</t>
  </si>
  <si>
    <t>CAA11285</t>
  </si>
  <si>
    <t>CAA11233-1</t>
  </si>
  <si>
    <t>CAA11233</t>
  </si>
  <si>
    <t>CAA11303-1</t>
  </si>
  <si>
    <t>CAA11303</t>
  </si>
  <si>
    <t>CAA11280-1</t>
  </si>
  <si>
    <t>CAA11280</t>
  </si>
  <si>
    <t>CAA11313-1</t>
  </si>
  <si>
    <t>CAA11313</t>
  </si>
  <si>
    <t>CAA11223-1</t>
  </si>
  <si>
    <t>CAA11223</t>
  </si>
  <si>
    <t>CAA11230-1</t>
  </si>
  <si>
    <t>CAA11230</t>
  </si>
  <si>
    <t>CAA11253-1</t>
  </si>
  <si>
    <t>CAA11253</t>
  </si>
  <si>
    <t>CAA11295-1</t>
  </si>
  <si>
    <t>CAA11295</t>
  </si>
  <si>
    <t>CAA11294-1</t>
  </si>
  <si>
    <t>CAA11294</t>
  </si>
  <si>
    <t>CAA11262-1</t>
  </si>
  <si>
    <t>CAA11262</t>
  </si>
  <si>
    <t>CAA11281-1</t>
  </si>
  <si>
    <t>CAA11281</t>
  </si>
  <si>
    <t>CAA11246-1</t>
  </si>
  <si>
    <t>CAA11246</t>
  </si>
  <si>
    <t>CAA11265-1</t>
  </si>
  <si>
    <t>CAA11265</t>
  </si>
  <si>
    <t>CAA11251-1</t>
  </si>
  <si>
    <t>CAA11251</t>
  </si>
  <si>
    <t>CAA11215-1</t>
  </si>
  <si>
    <t>CAA11215</t>
  </si>
  <si>
    <t>CAA11277-1</t>
  </si>
  <si>
    <t>CAA11277</t>
  </si>
  <si>
    <t>CAA11257-1</t>
  </si>
  <si>
    <t>CAA11257</t>
  </si>
  <si>
    <t>CAA11276-1</t>
  </si>
  <si>
    <t>CAA11276</t>
  </si>
  <si>
    <t>CAA11255-1</t>
  </si>
  <si>
    <t>CAA11255</t>
  </si>
  <si>
    <t>CAA11252-1</t>
  </si>
  <si>
    <t>CAA11252</t>
  </si>
  <si>
    <t>CAA11283-1</t>
  </si>
  <si>
    <t>CAA11283</t>
  </si>
  <si>
    <t>CAA11231-1</t>
  </si>
  <si>
    <t>CAA11231</t>
  </si>
  <si>
    <t>CAA11278-1</t>
  </si>
  <si>
    <t>CAA11278</t>
  </si>
  <si>
    <t>CAA11328-1</t>
  </si>
  <si>
    <t>CAA11328</t>
  </si>
  <si>
    <t>CAA11240-1</t>
  </si>
  <si>
    <t>CAA11240</t>
  </si>
  <si>
    <t>CAA11236-1</t>
  </si>
  <si>
    <t>CAA11236</t>
  </si>
  <si>
    <t>CAA11269-1</t>
  </si>
  <si>
    <t>CAA11269</t>
  </si>
  <si>
    <t>CAA11224-1</t>
  </si>
  <si>
    <t>CAA11224</t>
  </si>
  <si>
    <t>CAA11254-1</t>
  </si>
  <si>
    <t>CAA11254</t>
  </si>
  <si>
    <t>CAA11222-1</t>
  </si>
  <si>
    <t>CAA11222</t>
  </si>
  <si>
    <t>CAA11256-1</t>
  </si>
  <si>
    <t>CAA11256</t>
  </si>
  <si>
    <t>CAA11377-1</t>
  </si>
  <si>
    <t>CAA11377</t>
  </si>
  <si>
    <t>CAA11238-1</t>
  </si>
  <si>
    <t>CAA11238</t>
  </si>
  <si>
    <t>CAA11259-1</t>
  </si>
  <si>
    <t>CAA11259</t>
  </si>
  <si>
    <t>CAA11293-1</t>
  </si>
  <si>
    <t>CAA11293</t>
  </si>
  <si>
    <t>CAA11218-1</t>
  </si>
  <si>
    <t>CAA11218</t>
  </si>
  <si>
    <t>CAA11217-1</t>
  </si>
  <si>
    <t>CAA11217</t>
  </si>
  <si>
    <t>CAA11286-1</t>
  </si>
  <si>
    <t>CAA11286</t>
  </si>
  <si>
    <t>CAA11232-1</t>
  </si>
  <si>
    <t>CAA11232</t>
  </si>
  <si>
    <t>CAA11270-1</t>
  </si>
  <si>
    <t>CAA11270</t>
  </si>
  <si>
    <t>CAA11234-1</t>
  </si>
  <si>
    <t>CAA11234</t>
  </si>
  <si>
    <t>CAA11292-1</t>
  </si>
  <si>
    <t>CAA11292</t>
  </si>
  <si>
    <t>CAA11272-1</t>
  </si>
  <si>
    <t>CAA11272</t>
  </si>
  <si>
    <t>CAA11282-1</t>
  </si>
  <si>
    <t>CAA11282</t>
  </si>
  <si>
    <t>CAA11318-1</t>
  </si>
  <si>
    <t>CAA11318</t>
  </si>
  <si>
    <t>CAA11249-1</t>
  </si>
  <si>
    <t>CAA11249</t>
  </si>
  <si>
    <t>CAA11290-1</t>
  </si>
  <si>
    <t>CAA11290</t>
  </si>
  <si>
    <t>CAA11243-1</t>
  </si>
  <si>
    <t>CAA11243</t>
  </si>
  <si>
    <t>CAA11289-1</t>
  </si>
  <si>
    <t>CAA11289</t>
  </si>
  <si>
    <t>CAA11204-1</t>
  </si>
  <si>
    <t>CAA11204</t>
  </si>
  <si>
    <t>CAA11308-1</t>
  </si>
  <si>
    <t>CAA11308</t>
  </si>
  <si>
    <t>CAA11291-1</t>
  </si>
  <si>
    <t>CAA11291</t>
  </si>
  <si>
    <t>CAA11268-1</t>
  </si>
  <si>
    <t>CAA11268</t>
  </si>
  <si>
    <t>CAA11220-1</t>
  </si>
  <si>
    <t>CAA11220</t>
  </si>
  <si>
    <t>CAA11242-1</t>
  </si>
  <si>
    <t>CAA11242</t>
  </si>
  <si>
    <t>CAA11225-1</t>
  </si>
  <si>
    <t>CAA11225</t>
  </si>
  <si>
    <t>CAA11228-1</t>
  </si>
  <si>
    <t>CAA11228</t>
  </si>
  <si>
    <t>CAA11264-1</t>
  </si>
  <si>
    <t>CAA11264</t>
  </si>
  <si>
    <t>CAA11235-1</t>
  </si>
  <si>
    <t>CAA11235</t>
  </si>
  <si>
    <t>CAA11261-1</t>
  </si>
  <si>
    <t>CAA11261</t>
  </si>
  <si>
    <t>CAA11250-1</t>
  </si>
  <si>
    <t>CAA11250</t>
  </si>
  <si>
    <t>CAA11279-1</t>
  </si>
  <si>
    <t>CAA11279</t>
  </si>
  <si>
    <t>CAA11319-1</t>
  </si>
  <si>
    <t>CAA11319</t>
  </si>
  <si>
    <t>CAA11407-1</t>
  </si>
  <si>
    <t>CAA11407</t>
  </si>
  <si>
    <t>CAA11345-1</t>
  </si>
  <si>
    <t>CAA11345</t>
  </si>
  <si>
    <t>CAA11386-1</t>
  </si>
  <si>
    <t>CAA11386</t>
  </si>
  <si>
    <t>CAA11382-1</t>
  </si>
  <si>
    <t>CAA11382</t>
  </si>
  <si>
    <t>CAA11350-1</t>
  </si>
  <si>
    <t>CAA11350</t>
  </si>
  <si>
    <t>CAA11420-1</t>
  </si>
  <si>
    <t>CAA11420</t>
  </si>
  <si>
    <t>CAA11344-1</t>
  </si>
  <si>
    <t>CAA11344</t>
  </si>
  <si>
    <t>CAA11306-1</t>
  </si>
  <si>
    <t>CAA11306</t>
  </si>
  <si>
    <t>CAA11357-1</t>
  </si>
  <si>
    <t>CAA11357</t>
  </si>
  <si>
    <t>CAA11349-1</t>
  </si>
  <si>
    <t>CAA11349</t>
  </si>
  <si>
    <t>CAA11353-1</t>
  </si>
  <si>
    <t>CAA11353</t>
  </si>
  <si>
    <t>CAA11372-1</t>
  </si>
  <si>
    <t>CAA11372</t>
  </si>
  <si>
    <t>CAA11352-1</t>
  </si>
  <si>
    <t>CAA11352</t>
  </si>
  <si>
    <t>CAA11381-1</t>
  </si>
  <si>
    <t>CAA11381</t>
  </si>
  <si>
    <t>CAA11310-1</t>
  </si>
  <si>
    <t>CAA11310</t>
  </si>
  <si>
    <t>CAA11327-1</t>
  </si>
  <si>
    <t>CAA11327</t>
  </si>
  <si>
    <t>CAA11373-1</t>
  </si>
  <si>
    <t>CAA11373</t>
  </si>
  <si>
    <t>CAA11299-1</t>
  </si>
  <si>
    <t>CAA11299</t>
  </si>
  <si>
    <t>CAA11359-1</t>
  </si>
  <si>
    <t>CAA11359</t>
  </si>
  <si>
    <t>CAA11340-1</t>
  </si>
  <si>
    <t>CAA11340</t>
  </si>
  <si>
    <t>CAA11326-1</t>
  </si>
  <si>
    <t>CAA11326</t>
  </si>
  <si>
    <t>CAA11360-1</t>
  </si>
  <si>
    <t>CAA11360</t>
  </si>
  <si>
    <t>CAA11315-1</t>
  </si>
  <si>
    <t>CAA11315</t>
  </si>
  <si>
    <t>CAA11384-1</t>
  </si>
  <si>
    <t>CAA11384</t>
  </si>
  <si>
    <t>CAA11371-1</t>
  </si>
  <si>
    <t>CAA11371</t>
  </si>
  <si>
    <t>CAA11378-1</t>
  </si>
  <si>
    <t>CAA11378</t>
  </si>
  <si>
    <t>CAA11403-1</t>
  </si>
  <si>
    <t>CAA11403</t>
  </si>
  <si>
    <t>CAA11346-1</t>
  </si>
  <si>
    <t>CAA11346</t>
  </si>
  <si>
    <t>CAA11336-1</t>
  </si>
  <si>
    <t>CAA11336</t>
  </si>
  <si>
    <t>CAA11388-1</t>
  </si>
  <si>
    <t>CAA11388</t>
  </si>
  <si>
    <t>CAA11363-1</t>
  </si>
  <si>
    <t>CAA11363</t>
  </si>
  <si>
    <t>CAA11368-1</t>
  </si>
  <si>
    <t>CAA11368</t>
  </si>
  <si>
    <t>CAA11298-1</t>
  </si>
  <si>
    <t>CAA11298</t>
  </si>
  <si>
    <t>CAA11325-1</t>
  </si>
  <si>
    <t>CAA11325</t>
  </si>
  <si>
    <t>CAA11485-1</t>
  </si>
  <si>
    <t>CAA11485</t>
  </si>
  <si>
    <t>CAA11364-1</t>
  </si>
  <si>
    <t>CAA11364</t>
  </si>
  <si>
    <t>CAA11404-1</t>
  </si>
  <si>
    <t>CAA11404</t>
  </si>
  <si>
    <t>CAA11380-1</t>
  </si>
  <si>
    <t>CAA11380</t>
  </si>
  <si>
    <t>CAA11390-1</t>
  </si>
  <si>
    <t>CAA11390</t>
  </si>
  <si>
    <t>CAA11385-1</t>
  </si>
  <si>
    <t>CAA11385</t>
  </si>
  <si>
    <t>CAA11408-1</t>
  </si>
  <si>
    <t>CAA11408</t>
  </si>
  <si>
    <t>CAA11305-1</t>
  </si>
  <si>
    <t>CAA11305</t>
  </si>
  <si>
    <t>CAA11358-1</t>
  </si>
  <si>
    <t>CAA11358</t>
  </si>
  <si>
    <t>CAA11411-1</t>
  </si>
  <si>
    <t>CAA11411</t>
  </si>
  <si>
    <t>CAA11409-1</t>
  </si>
  <si>
    <t>CAA11409</t>
  </si>
  <si>
    <t>CAA11334-1</t>
  </si>
  <si>
    <t>CAA11334</t>
  </si>
  <si>
    <t>CAA11375-1</t>
  </si>
  <si>
    <t>CAA11375</t>
  </si>
  <si>
    <t>CAA11370-1</t>
  </si>
  <si>
    <t>CAA11370</t>
  </si>
  <si>
    <t>CAA11400-1</t>
  </si>
  <si>
    <t>CAA11400</t>
  </si>
  <si>
    <t>CAA11342-1</t>
  </si>
  <si>
    <t>CAA11342</t>
  </si>
  <si>
    <t>CAA11333-1</t>
  </si>
  <si>
    <t>CAA11333</t>
  </si>
  <si>
    <t>CAA11317-1</t>
  </si>
  <si>
    <t>CAA11317</t>
  </si>
  <si>
    <t>CAA11413-1</t>
  </si>
  <si>
    <t>CAA11413</t>
  </si>
  <si>
    <t>CAA11393-1</t>
  </si>
  <si>
    <t>CAA11393</t>
  </si>
  <si>
    <t>CAA11392-1</t>
  </si>
  <si>
    <t>CAA11392</t>
  </si>
  <si>
    <t>CAA11396-1</t>
  </si>
  <si>
    <t>CAA11396</t>
  </si>
  <si>
    <t>CAA11331-1</t>
  </si>
  <si>
    <t>CAA11331</t>
  </si>
  <si>
    <t>CAA11355-1</t>
  </si>
  <si>
    <t>CAA11355</t>
  </si>
  <si>
    <t>CAA11383-1</t>
  </si>
  <si>
    <t>CAA11383</t>
  </si>
  <si>
    <t>CAA11391-1</t>
  </si>
  <si>
    <t>CAA11391</t>
  </si>
  <si>
    <t>CAA11387-1</t>
  </si>
  <si>
    <t>CAA11387</t>
  </si>
  <si>
    <t>CAA11414-1</t>
  </si>
  <si>
    <t>CAA11414</t>
  </si>
  <si>
    <t>CAA11347-1</t>
  </si>
  <si>
    <t>CAA11347</t>
  </si>
  <si>
    <t>CAA11304-1</t>
  </si>
  <si>
    <t>CAA11304</t>
  </si>
  <si>
    <t>CAA11394-1</t>
  </si>
  <si>
    <t>CAA11394</t>
  </si>
  <si>
    <t>CAA11397-1</t>
  </si>
  <si>
    <t>CAA11397</t>
  </si>
  <si>
    <t>CAA11343-1</t>
  </si>
  <si>
    <t>CAA11343</t>
  </si>
  <si>
    <t>CAA11341-1</t>
  </si>
  <si>
    <t>CAA11341</t>
  </si>
  <si>
    <t>CAA11332-1</t>
  </si>
  <si>
    <t>CAA11332</t>
  </si>
  <si>
    <t>CAA11307-1</t>
  </si>
  <si>
    <t>CAA11307</t>
  </si>
  <si>
    <t>CAA11365-1</t>
  </si>
  <si>
    <t>CAA11365</t>
  </si>
  <si>
    <t>CAA11354-1</t>
  </si>
  <si>
    <t>CAA11354</t>
  </si>
  <si>
    <t>CAA11351-1</t>
  </si>
  <si>
    <t>CAA11351</t>
  </si>
  <si>
    <t>CAA11415-1</t>
  </si>
  <si>
    <t>CAA11415</t>
  </si>
  <si>
    <t>CAA11356-1</t>
  </si>
  <si>
    <t>CAA11356</t>
  </si>
  <si>
    <t>CAA11406-1</t>
  </si>
  <si>
    <t>CAA11406</t>
  </si>
  <si>
    <t>CAA11300-1</t>
  </si>
  <si>
    <t>CAA11300</t>
  </si>
  <si>
    <t>CAA11338-1</t>
  </si>
  <si>
    <t>CAA11338</t>
  </si>
  <si>
    <t>CAA11314-1</t>
  </si>
  <si>
    <t>CAA11314</t>
  </si>
  <si>
    <t>CAA11412-1</t>
  </si>
  <si>
    <t>CAA11412</t>
  </si>
  <si>
    <t>CAA11405-1</t>
  </si>
  <si>
    <t>CAA11405</t>
  </si>
  <si>
    <t>CAA11316-1</t>
  </si>
  <si>
    <t>CAA11316</t>
  </si>
  <si>
    <t>CAA11323-1</t>
  </si>
  <si>
    <t>CAA11323</t>
  </si>
  <si>
    <t>CAA11374-1</t>
  </si>
  <si>
    <t>CAA11374</t>
  </si>
  <si>
    <t>CAA11329-1</t>
  </si>
  <si>
    <t>CAA11329</t>
  </si>
  <si>
    <t>CAA11389-1</t>
  </si>
  <si>
    <t>CAA11389</t>
  </si>
  <si>
    <t>CAA11398-1</t>
  </si>
  <si>
    <t>CAA11398</t>
  </si>
  <si>
    <t>CAA11366-1</t>
  </si>
  <si>
    <t>CAA11366</t>
  </si>
  <si>
    <t>CAA11361-1</t>
  </si>
  <si>
    <t>CAA11361</t>
  </si>
  <si>
    <t>CAA11302-1</t>
  </si>
  <si>
    <t>CAA11302</t>
  </si>
  <si>
    <t>CAA11309-1</t>
  </si>
  <si>
    <t>CAA11309</t>
  </si>
  <si>
    <t>CAA11421-1</t>
  </si>
  <si>
    <t>CAA11421</t>
  </si>
  <si>
    <t>CAA11335-1</t>
  </si>
  <si>
    <t>CAA11335</t>
  </si>
  <si>
    <t>CAA11402-1</t>
  </si>
  <si>
    <t>CAA11402</t>
  </si>
  <si>
    <t>CAA11410-1</t>
  </si>
  <si>
    <t>CAA11410</t>
  </si>
  <si>
    <t>CAA11312-1</t>
  </si>
  <si>
    <t>CAA11312</t>
  </si>
  <si>
    <t>CAA11311-1</t>
  </si>
  <si>
    <t>CAA11311</t>
  </si>
  <si>
    <t>CAA11399-1</t>
  </si>
  <si>
    <t>CAA11399</t>
  </si>
  <si>
    <t>CAA11395-1</t>
  </si>
  <si>
    <t>CAA11395</t>
  </si>
  <si>
    <t>CAA11376-1</t>
  </si>
  <si>
    <t>CAA11376</t>
  </si>
  <si>
    <t>CAA11301-1</t>
  </si>
  <si>
    <t>CAA11301</t>
  </si>
  <si>
    <t>CAA11348-1</t>
  </si>
  <si>
    <t>CAA11348</t>
  </si>
  <si>
    <t>CAA11337-1</t>
  </si>
  <si>
    <t>CAA11337</t>
  </si>
  <si>
    <t>CAA11324-1</t>
  </si>
  <si>
    <t>CAA11324</t>
  </si>
  <si>
    <t>CAA11369-1</t>
  </si>
  <si>
    <t>CAA11369</t>
  </si>
  <si>
    <t>CAA11330-1</t>
  </si>
  <si>
    <t>CAA11330</t>
  </si>
  <si>
    <t>CAA11362-1</t>
  </si>
  <si>
    <t>CAA11362</t>
  </si>
  <si>
    <t>CAA11401-1</t>
  </si>
  <si>
    <t>CAA11401</t>
  </si>
  <si>
    <t>CAA11379-1</t>
  </si>
  <si>
    <t>CAA11379</t>
  </si>
  <si>
    <t>CAA11367-1</t>
  </si>
  <si>
    <t>CAA11367</t>
  </si>
  <si>
    <t>CAA11446-1</t>
  </si>
  <si>
    <t>CAA11446</t>
  </si>
  <si>
    <t>CAA11422-1</t>
  </si>
  <si>
    <t>CAA11422</t>
  </si>
  <si>
    <t>CAA11466-1</t>
  </si>
  <si>
    <t>CAA11466</t>
  </si>
  <si>
    <t>CAA11469-1</t>
  </si>
  <si>
    <t>CAA11469</t>
  </si>
  <si>
    <t>CAA11463-1</t>
  </si>
  <si>
    <t>CAA11463</t>
  </si>
  <si>
    <t>CAA11464-1</t>
  </si>
  <si>
    <t>CAA11464</t>
  </si>
  <si>
    <t>CAA11460-1</t>
  </si>
  <si>
    <t>CAA11460</t>
  </si>
  <si>
    <t>CAA11489-1</t>
  </si>
  <si>
    <t>CAA11489</t>
  </si>
  <si>
    <t>CAA11423-1</t>
  </si>
  <si>
    <t>CAA11423</t>
  </si>
  <si>
    <t>CAA11435-1</t>
  </si>
  <si>
    <t>CAA11435</t>
  </si>
  <si>
    <t>CAA11447-1</t>
  </si>
  <si>
    <t>CAA11447</t>
  </si>
  <si>
    <t>CAA11483-1</t>
  </si>
  <si>
    <t>CAA11483</t>
  </si>
  <si>
    <t>CAA11501-1</t>
  </si>
  <si>
    <t>CAA11501</t>
  </si>
  <si>
    <t>CAA11461-1</t>
  </si>
  <si>
    <t>CAA11461</t>
  </si>
  <si>
    <t>CAA11449-1</t>
  </si>
  <si>
    <t>CAA11449</t>
  </si>
  <si>
    <t>CAA11427-1</t>
  </si>
  <si>
    <t>CAA11427</t>
  </si>
  <si>
    <t>CAA11454-1</t>
  </si>
  <si>
    <t>CAA11454</t>
  </si>
  <si>
    <t>CAA11444-1</t>
  </si>
  <si>
    <t>CAA11444</t>
  </si>
  <si>
    <t>CAA11433-1</t>
  </si>
  <si>
    <t>CAA11433</t>
  </si>
  <si>
    <t>CAA11491-1</t>
  </si>
  <si>
    <t>CAA11491</t>
  </si>
  <si>
    <t>CAA11495-1</t>
  </si>
  <si>
    <t>CAA11495</t>
  </si>
  <si>
    <t>CAA11500-1</t>
  </si>
  <si>
    <t>CAA11500</t>
  </si>
  <si>
    <t>CAA11443-1</t>
  </si>
  <si>
    <t>CAA11443</t>
  </si>
  <si>
    <t>CAA11474-1</t>
  </si>
  <si>
    <t>CAA11474</t>
  </si>
  <si>
    <t>CAA11482-1</t>
  </si>
  <si>
    <t>CAA11482</t>
  </si>
  <si>
    <t>CAA11478-1</t>
  </si>
  <si>
    <t>CAA11478</t>
  </si>
  <si>
    <t>CAA11439-1</t>
  </si>
  <si>
    <t>CAA11439</t>
  </si>
  <si>
    <t>CAA11417-1</t>
  </si>
  <si>
    <t>CAA11417</t>
  </si>
  <si>
    <t>CAA11442-1</t>
  </si>
  <si>
    <t>CAA11442</t>
  </si>
  <si>
    <t>CAA11502-1</t>
  </si>
  <si>
    <t>CAA11502</t>
  </si>
  <si>
    <t>CAA11475-1</t>
  </si>
  <si>
    <t>CAA11475</t>
  </si>
  <si>
    <t>CAA11428-1</t>
  </si>
  <si>
    <t>CAA11428</t>
  </si>
  <si>
    <t>CAA11498-1</t>
  </si>
  <si>
    <t>CAA11498</t>
  </si>
  <si>
    <t>CAA11425-1</t>
  </si>
  <si>
    <t>CAA11425</t>
  </si>
  <si>
    <t>CAA11458-1</t>
  </si>
  <si>
    <t>CAA11458</t>
  </si>
  <si>
    <t>CAA11472-1</t>
  </si>
  <si>
    <t>CAA11472</t>
  </si>
  <si>
    <t>CAA11477-1</t>
  </si>
  <si>
    <t>CAA11477</t>
  </si>
  <si>
    <t>CAA11507-1</t>
  </si>
  <si>
    <t>CAA11507</t>
  </si>
  <si>
    <t>CAA11452-1</t>
  </si>
  <si>
    <t>CAA11452</t>
  </si>
  <si>
    <t>CAA11453-1</t>
  </si>
  <si>
    <t>CAA11453</t>
  </si>
  <si>
    <t>CAA11504-1</t>
  </si>
  <si>
    <t>CAA11504</t>
  </si>
  <si>
    <t>CAA11481-1</t>
  </si>
  <si>
    <t>CAA11481</t>
  </si>
  <si>
    <t>CAA11480-1</t>
  </si>
  <si>
    <t>CAA11480</t>
  </si>
  <si>
    <t>CAA11429-1</t>
  </si>
  <si>
    <t>CAA11429</t>
  </si>
  <si>
    <t>CAA11438-1</t>
  </si>
  <si>
    <t>CAA11438</t>
  </si>
  <si>
    <t>CAA11434-1</t>
  </si>
  <si>
    <t>CAA11434</t>
  </si>
  <si>
    <t>CAA11455-1</t>
  </si>
  <si>
    <t>CAA11455</t>
  </si>
  <si>
    <t>CAA11456-1</t>
  </si>
  <si>
    <t>CAA11456</t>
  </si>
  <si>
    <t>CAA11471-1</t>
  </si>
  <si>
    <t>CAA11471</t>
  </si>
  <si>
    <t>CAA11486-1</t>
  </si>
  <si>
    <t>CAA11486</t>
  </si>
  <si>
    <t>CAA11462-1</t>
  </si>
  <si>
    <t>CAA11462</t>
  </si>
  <si>
    <t>CAA11494-1</t>
  </si>
  <si>
    <t>CAA11494</t>
  </si>
  <si>
    <t>CAA11445-1</t>
  </si>
  <si>
    <t>CAA11445</t>
  </si>
  <si>
    <t>CAA11416-1</t>
  </si>
  <si>
    <t>CAA11416</t>
  </si>
  <si>
    <t>CAA11492-1</t>
  </si>
  <si>
    <t>CAA11492</t>
  </si>
  <si>
    <t>CAA11499-1</t>
  </si>
  <si>
    <t>CAA11499</t>
  </si>
  <si>
    <t>CAA11457-1</t>
  </si>
  <si>
    <t>CAA11457</t>
  </si>
  <si>
    <t>CAA11451-1</t>
  </si>
  <si>
    <t>CAA11451</t>
  </si>
  <si>
    <t>CAA11440-1</t>
  </si>
  <si>
    <t>CAA11440</t>
  </si>
  <si>
    <t>CAA11490-1</t>
  </si>
  <si>
    <t>CAA11490</t>
  </si>
  <si>
    <t>CAA11459-1</t>
  </si>
  <si>
    <t>CAA11459</t>
  </si>
  <si>
    <t>CAA11468-1</t>
  </si>
  <si>
    <t>CAA11468</t>
  </si>
  <si>
    <t>CAA11418-1</t>
  </si>
  <si>
    <t>CAA11418</t>
  </si>
  <si>
    <t>CAA11450-1</t>
  </si>
  <si>
    <t>CAA11450</t>
  </si>
  <si>
    <t>CAA11484-1</t>
  </si>
  <si>
    <t>CAA11484</t>
  </si>
  <si>
    <t>CAA11431-1</t>
  </si>
  <si>
    <t>CAA11431</t>
  </si>
  <si>
    <t>CAA11430-1</t>
  </si>
  <si>
    <t>CAA11430</t>
  </si>
  <si>
    <t>CAA11467-1</t>
  </si>
  <si>
    <t>CAA11467</t>
  </si>
  <si>
    <t>CAA11488-1</t>
  </si>
  <si>
    <t>CAA11488</t>
  </si>
  <si>
    <t>CAA11436-1</t>
  </si>
  <si>
    <t>CAA11436</t>
  </si>
  <si>
    <t>CAA11487-1</t>
  </si>
  <si>
    <t>CAA11487</t>
  </si>
  <si>
    <t>CAA11426-1</t>
  </si>
  <si>
    <t>CAA11426</t>
  </si>
  <si>
    <t>CAA11441-1</t>
  </si>
  <si>
    <t>CAA11441</t>
  </si>
  <si>
    <t>CAA11503-1</t>
  </si>
  <si>
    <t>CAA11503</t>
  </si>
  <si>
    <t>CAA11506-1</t>
  </si>
  <si>
    <t>CAA11506</t>
  </si>
  <si>
    <t>CAA11424-1</t>
  </si>
  <si>
    <t>CAA11424</t>
  </si>
  <si>
    <t>CAA11505-1</t>
  </si>
  <si>
    <t>CAA11505</t>
  </si>
  <si>
    <t>CAA11465-1</t>
  </si>
  <si>
    <t>CAA11465</t>
  </si>
  <si>
    <t>CAA11339-1</t>
  </si>
  <si>
    <t>CAA11339</t>
  </si>
  <si>
    <t>CAA11493-1</t>
  </si>
  <si>
    <t>CAA11493</t>
  </si>
  <si>
    <t>CAA11476-1</t>
  </si>
  <si>
    <t>CAA11476</t>
  </si>
  <si>
    <t>CAA11497-1</t>
  </si>
  <si>
    <t>CAA11497</t>
  </si>
  <si>
    <t>CAA11419-1</t>
  </si>
  <si>
    <t>CAA11419</t>
  </si>
  <si>
    <t>CAA11448-1</t>
  </si>
  <si>
    <t>CAA11448</t>
  </si>
  <si>
    <t>CAA11432-1</t>
  </si>
  <si>
    <t>CAA11432</t>
  </si>
  <si>
    <t>CAA11479-1</t>
  </si>
  <si>
    <t>CAA11479</t>
  </si>
  <si>
    <t>CAA11437-1</t>
  </si>
  <si>
    <t>CAA11437</t>
  </si>
  <si>
    <t>CAA11496-1</t>
  </si>
  <si>
    <t>CAA11496</t>
  </si>
  <si>
    <t>CAA11470-1</t>
  </si>
  <si>
    <t>CAA11470</t>
  </si>
  <si>
    <t>T &amp; M Southern Cranes Pty Ltd</t>
  </si>
  <si>
    <t>JKR Group Australia Pty Ltd</t>
  </si>
  <si>
    <t>Made Contracting Pty Ltd</t>
  </si>
  <si>
    <t>Ardee Civil Pty Ltd</t>
  </si>
  <si>
    <t>Warren Kopp Transport Pty Ltd</t>
  </si>
  <si>
    <t>Xtra Mile Trucking Pty Ltd</t>
  </si>
  <si>
    <t>Gonzalez Steel Pty Limited</t>
  </si>
  <si>
    <t>Complete Welding Services International Pty Ltd</t>
  </si>
  <si>
    <t>Kwill Constructions Pty Ltd</t>
  </si>
  <si>
    <t>Queensland Pre-Stressing Pty Ltd</t>
  </si>
  <si>
    <t>Network Connex Pty Ltd</t>
  </si>
  <si>
    <t>Pressure Works Pty Ltd</t>
  </si>
  <si>
    <t>Foran Civil Pty Ltd</t>
  </si>
  <si>
    <t>HL Landscapes Pty Ltd</t>
  </si>
  <si>
    <t>Westkon Precast Pty Ltd</t>
  </si>
  <si>
    <t>Trevi Australia Pty Ltd</t>
  </si>
  <si>
    <t>Two Way Cranes Pty Ltd</t>
  </si>
  <si>
    <t>Taylors Freight Transport Pty Ltd</t>
  </si>
  <si>
    <t>Loader Vac Solutions</t>
  </si>
  <si>
    <t>Cono Services Pty Ltd</t>
  </si>
  <si>
    <t>Precast Concrete Solutions Pty Ltd</t>
  </si>
  <si>
    <t>A C Whalan &amp; Co Pty Ltd</t>
  </si>
  <si>
    <t>Tutt Bryant Group Limited</t>
  </si>
  <si>
    <t>Wessel Drilling Pty Ltd</t>
  </si>
  <si>
    <t>Cubis Systems Australia Pty Ltd</t>
  </si>
  <si>
    <t>Allfasteners Pty Ltd</t>
  </si>
  <si>
    <t>Kangaroo Transport &amp; Haulage Pty Ltd</t>
  </si>
  <si>
    <t>Euro Civil Pty Ltd</t>
  </si>
  <si>
    <t>TCB Trans Logistics Vic Pty Ltd</t>
  </si>
  <si>
    <t>Maas Group Holdings</t>
  </si>
  <si>
    <t>RB &amp; SCW Enterprises Pty Ltd</t>
  </si>
  <si>
    <t>Adamson Earthmovers Services Pty Ltd</t>
  </si>
  <si>
    <t>X-Cel Construction Services Pty Ltd</t>
  </si>
  <si>
    <t>Mitchcon Pty Ltd</t>
  </si>
  <si>
    <t>M &amp; L Walford Pty Ltd</t>
  </si>
  <si>
    <t>Alimak Group Australia Pty Ltd</t>
  </si>
  <si>
    <t>Precision Pipe Networks Pty Ltd</t>
  </si>
  <si>
    <t>LCR Group Pty Ltd</t>
  </si>
  <si>
    <t>Fresh Start Australia Pty Ltd</t>
  </si>
  <si>
    <t>Slaney Excavations Pty Ltd</t>
  </si>
  <si>
    <t>Fugen Masonry Contractors (Qld) Pty Limited</t>
  </si>
  <si>
    <t>McMahon Services Australia Pty Ltd</t>
  </si>
  <si>
    <t>Millennium Plumbing and Drainage Contractors</t>
  </si>
  <si>
    <t>Hex Hire Pty Ltd</t>
  </si>
  <si>
    <t>Marine Industries Victoria Pty Ltd</t>
  </si>
  <si>
    <t>Kenny Constructions (Aust.) Pty. Limited</t>
  </si>
  <si>
    <t>Dalyâ€™s Constructions (Aust) Pty Ltd</t>
  </si>
  <si>
    <t>Above Scaffolding Pty Ltd</t>
  </si>
  <si>
    <t>Australian Weighing Equipment Pty Ltd</t>
  </si>
  <si>
    <t>SweepNKleen Road Sweeping Services Pty Ltd</t>
  </si>
  <si>
    <t>Durkin Construction Pty Ltd</t>
  </si>
  <si>
    <t>Kenro Products Pty Ltd</t>
  </si>
  <si>
    <t>Refire Group Pty Ltd</t>
  </si>
  <si>
    <t>Symal Group Pty Ltd</t>
  </si>
  <si>
    <t>Marr Contracting Pty Ltd</t>
  </si>
  <si>
    <t>Suas Civil Pty Ltd</t>
  </si>
  <si>
    <t>ATCO Structures and Logistics Pty Ltd</t>
  </si>
  <si>
    <t>Ferrycarrig Construction Pty Ltd</t>
  </si>
  <si>
    <t>Online Fire &amp; Security Pty Ltd</t>
  </si>
  <si>
    <t>Rhomberg Rail Australia Pty Ltd</t>
  </si>
  <si>
    <t>Q Electrical Services Pty Ltd</t>
  </si>
  <si>
    <t>Astern Group Pty Ltd</t>
  </si>
  <si>
    <t>Bryco Civil Construction Pty Ltd</t>
  </si>
  <si>
    <t>Diverse Solutions Group Pty Ltd</t>
  </si>
  <si>
    <t>Matrix Drilling Australia Pty Ltd</t>
  </si>
  <si>
    <t>RA Smith Contracting Pty Ltd</t>
  </si>
  <si>
    <t>Arcadia Global Pty Ltd</t>
  </si>
  <si>
    <t>STG Pumps Pty Ltd</t>
  </si>
  <si>
    <t>Freight Movement Pty Ltd</t>
  </si>
  <si>
    <t>SAF Group Pty Ltd</t>
  </si>
  <si>
    <t>Baren Projects Pty Ltd</t>
  </si>
  <si>
    <t>Outrite Hire &amp; Sales Pty Ltd</t>
  </si>
  <si>
    <t>Tallai Project Group Pty Ltd</t>
  </si>
  <si>
    <t>Kellys Earthworks Pty Ltd</t>
  </si>
  <si>
    <t>Betts Blasting Pty Ltd</t>
  </si>
  <si>
    <t>W J &amp; M Allendorf</t>
  </si>
  <si>
    <t>Patriot Tankers Pty Ltd</t>
  </si>
  <si>
    <t>Calbah Industries Pty Ltd</t>
  </si>
  <si>
    <t>Environmental Vegetation Management Australia Pty Ltd</t>
  </si>
  <si>
    <t>EPH Enterprises Pty Ltd</t>
  </si>
  <si>
    <t>ENCO Precast Pty Ltd</t>
  </si>
  <si>
    <t>Trans Lift Crane Trucks Pty Ltd</t>
  </si>
  <si>
    <t>RAF Civil Pty Ltd</t>
  </si>
  <si>
    <t>Civx Pty Ltd</t>
  </si>
  <si>
    <t>Rapidcrete Pty Ltd</t>
  </si>
  <si>
    <t>Reinforced Earth Pty Ltd</t>
  </si>
  <si>
    <t>Bitupave Ltd</t>
  </si>
  <si>
    <t>Seadar Contractors Pty Ltd</t>
  </si>
  <si>
    <t>LC Trucking Pty Ltd</t>
  </si>
  <si>
    <t>As you like it Landscaping Pty Ltd</t>
  </si>
  <si>
    <t>Abyss Construction Pty Ltd</t>
  </si>
  <si>
    <t>Vaughan Civil Pty Ltd</t>
  </si>
  <si>
    <t>Australian Utilities Management Pty Ltd</t>
  </si>
  <si>
    <t>The Rix Group Pty Ltd</t>
  </si>
  <si>
    <t>Egans Plant Hire Pty Ltd</t>
  </si>
  <si>
    <t>Wallace Concrete Pumping Pty Ltd</t>
  </si>
  <si>
    <t>Downer PipeTech Pty Ltd</t>
  </si>
  <si>
    <t>Specialized Access Pty Ltd</t>
  </si>
  <si>
    <t>F and Sons Transport Pty Ltd</t>
  </si>
  <si>
    <t>Robar Civil Pty Ltd</t>
  </si>
  <si>
    <t>Lift Logistics &amp; Transport Pty Ltd</t>
  </si>
  <si>
    <t>Cirtex Industries Pty Ltd</t>
  </si>
  <si>
    <t>Quinnex Pty Ltd</t>
  </si>
  <si>
    <t>Boral Resources (QLD) Pty Limited</t>
  </si>
  <si>
    <t>PWG Infrastructure Pty Ltd</t>
  </si>
  <si>
    <t>Eire Midland Constructions Pty Ltd</t>
  </si>
  <si>
    <t>Project Civil Group</t>
  </si>
  <si>
    <t>Grid Logistics Pty Ltd</t>
  </si>
  <si>
    <t>Thomas Kingsley Resources Pty Ltd</t>
  </si>
  <si>
    <t>Advanced Weather Proofing Pty Ltd</t>
  </si>
  <si>
    <t>Complete I.T.S Group Pty Ltd</t>
  </si>
  <si>
    <t>Rail Control Systems Australia Pty Ltd</t>
  </si>
  <si>
    <t>BLASK Pty Ltd</t>
  </si>
  <si>
    <t>Norcon Slipforming Pty Ltd</t>
  </si>
  <si>
    <t>Stephens Plant Hire Pty Ltd</t>
  </si>
  <si>
    <t>Nasi Pty Ltd</t>
  </si>
  <si>
    <t>Hiway Stabilizers Australia Pty Ltd</t>
  </si>
  <si>
    <t>Barlina Pty Ltd</t>
  </si>
  <si>
    <t>T &amp; C Plumbing Services NSW Pty Ltd</t>
  </si>
  <si>
    <t>Altitude Construction Group Pty Limited</t>
  </si>
  <si>
    <t>Rojoe Pty Ltd</t>
  </si>
  <si>
    <t>Hyperion Technology Pty Ltd</t>
  </si>
  <si>
    <t>Shadbolt Group Pty Ltd</t>
  </si>
  <si>
    <t>Mataniel Laurate Pty Ltd</t>
  </si>
  <si>
    <t>Chess Engineering Pty Ltd</t>
  </si>
  <si>
    <t>Hydro Excavac Pty Ltd</t>
  </si>
  <si>
    <t>Trelleborg Perth Pty Ltd</t>
  </si>
  <si>
    <t>iShift Solutions Pty Ltd</t>
  </si>
  <si>
    <t>Whyte Civil Pty Ltd</t>
  </si>
  <si>
    <t>Challenge Civil Group Pty Ltd</t>
  </si>
  <si>
    <t>JR &amp; EG Richards (NSW) Pty Ltd</t>
  </si>
  <si>
    <t>Lewiston Haulage Pty Ltd</t>
  </si>
  <si>
    <t>KCJ Rail Pty Ltd</t>
  </si>
  <si>
    <t>Gillies Civil Pty Ltd</t>
  </si>
  <si>
    <t>Universal Cranes (Sunshine Coast) Pty Ltd</t>
  </si>
  <si>
    <t>Rappid Haulage Pty Ltd</t>
  </si>
  <si>
    <t>Modcast Pty Ltd</t>
  </si>
  <si>
    <t>Clifton Formwork (Vic) Pty Ltd</t>
  </si>
  <si>
    <t>Delta Machine Kerbing Pty Ltd</t>
  </si>
  <si>
    <t>Focus Hire Pty Ltd</t>
  </si>
  <si>
    <t>Skeffmac Pty Ltd</t>
  </si>
  <si>
    <t>Newnham Trucking Pty Ltd</t>
  </si>
  <si>
    <t>Hi-Haul Transport Pty Ltd</t>
  </si>
  <si>
    <t>Flomar Pty Ltd</t>
  </si>
  <si>
    <t>G M S Contractors Pty Ltd</t>
  </si>
  <si>
    <t>T. Eilbeck &amp; Son Pty Ltd</t>
  </si>
  <si>
    <t>HDD Drilling Pty Ltd</t>
  </si>
  <si>
    <t>Strategic Drilling Services Services Pty Ltd</t>
  </si>
  <si>
    <t>Kelko Construction Pty. Ltd</t>
  </si>
  <si>
    <t>24/7 Fuels Pty Ltd</t>
  </si>
  <si>
    <t>Ace Civil Services Pty Ltd</t>
  </si>
  <si>
    <t>Retaining Solutions Design Construct Pty Limited</t>
  </si>
  <si>
    <t>Moore Construction Services Pty Ltd</t>
  </si>
  <si>
    <t>Pacific Hire Wangaratta Pty Ltd</t>
  </si>
  <si>
    <t>Idec Solutions Pty Ltd</t>
  </si>
  <si>
    <t>Image Linemarking Pty Ltd</t>
  </si>
  <si>
    <t>Freyssinet Australia Pty Ltd</t>
  </si>
  <si>
    <t>Evolution Group Holdings Pty Ltd</t>
  </si>
  <si>
    <t>Mansour Paving (Aust) Pty Ltd</t>
  </si>
  <si>
    <t>Hirecorp Pty Ltd</t>
  </si>
  <si>
    <t>Allmark Linemarking Services Pty Ltd</t>
  </si>
  <si>
    <t>Avopiling Services (NSW) Pty Ltd</t>
  </si>
  <si>
    <t>CDC Investment Group Pty Ltd</t>
  </si>
  <si>
    <t>Mansell Premix Pty Ltd</t>
  </si>
  <si>
    <t>MJB Contractors Pty Ltd</t>
  </si>
  <si>
    <t>Fredon (Vic) Electrical Pty Ltd</t>
  </si>
  <si>
    <t>Coates Hire Operations Pty Limited</t>
  </si>
  <si>
    <t>Orange Equipment Pty Ltd</t>
  </si>
  <si>
    <t>Commercial Construction Specialists Pty Ltd</t>
  </si>
  <si>
    <t>Neilsens Holdings Pty Ltd</t>
  </si>
  <si>
    <t>Holcim (Australia) Pty Ltd</t>
  </si>
  <si>
    <t>SRS Drilling Pty Ltd</t>
  </si>
  <si>
    <t>Shearform Pty Ltd</t>
  </si>
  <si>
    <t>Drilltec Pty Ltd</t>
  </si>
  <si>
    <t>Brent Young Cranes Pty Ltd</t>
  </si>
  <si>
    <t>Economical Engineering Services Australia Pty Ltd</t>
  </si>
  <si>
    <t>Wabtec Australia Pty Ltd</t>
  </si>
  <si>
    <t>Crown Scaffold Pty Ltd</t>
  </si>
  <si>
    <t>GVP Fabricators Pty Ltd</t>
  </si>
  <si>
    <t>Earthtek Excavations Pty Ltd</t>
  </si>
  <si>
    <t>Comfort Sleep Bedding Pty Ltd</t>
  </si>
  <si>
    <t>David Harris Earthmoving Pty Ltd</t>
  </si>
  <si>
    <t>Sixense Oceania Pty Ltd</t>
  </si>
  <si>
    <t>LJ &amp; LJ Pty Ltd</t>
  </si>
  <si>
    <t>Rocla Pty Limited</t>
  </si>
  <si>
    <t>RPM Hire Australia Pty Ltd</t>
  </si>
  <si>
    <t>Speno Rail Maintenance Australia Pty Ltd</t>
  </si>
  <si>
    <t>Ash (Vic) Pty Ltd</t>
  </si>
  <si>
    <t>Victorian Crane Hire Pty Ltd</t>
  </si>
  <si>
    <t>CSA Specialised Services Pty Ltd</t>
  </si>
  <si>
    <t>Contact ID</t>
  </si>
  <si>
    <t>Display Name</t>
  </si>
  <si>
    <t>First Name</t>
  </si>
  <si>
    <t>Last Name</t>
  </si>
  <si>
    <t>Email</t>
  </si>
  <si>
    <t>Is Active</t>
  </si>
  <si>
    <t>Anjanneth Guntang</t>
  </si>
  <si>
    <t>Anjanneth</t>
  </si>
  <si>
    <t>Guntang</t>
  </si>
  <si>
    <t>accounts@flomarcivil.com</t>
  </si>
  <si>
    <t>Adam Christou</t>
  </si>
  <si>
    <t>Adam</t>
  </si>
  <si>
    <t>Christou</t>
  </si>
  <si>
    <t>adamchristou@hotmail.com</t>
  </si>
  <si>
    <t>Adam Fandi</t>
  </si>
  <si>
    <t>Fandi</t>
  </si>
  <si>
    <t>a.fandi@eilbeckcranes.com</t>
  </si>
  <si>
    <t>Ahmed Ali</t>
  </si>
  <si>
    <t>Ahmed</t>
  </si>
  <si>
    <t>Ali</t>
  </si>
  <si>
    <t>ahmed.ali@treviaustralia.com.au</t>
  </si>
  <si>
    <t>Alan Hornsey</t>
  </si>
  <si>
    <t>Alan</t>
  </si>
  <si>
    <t>Hornsey</t>
  </si>
  <si>
    <t>alan.h@hirecorp.com.au</t>
  </si>
  <si>
    <t>Amanda Hermoso</t>
  </si>
  <si>
    <t>Amanda</t>
  </si>
  <si>
    <t>Hermoso</t>
  </si>
  <si>
    <t>a.hermoso@jycranes.com.au</t>
  </si>
  <si>
    <t>Andrew Meier</t>
  </si>
  <si>
    <t>Andrew</t>
  </si>
  <si>
    <t>Meier</t>
  </si>
  <si>
    <t>ameier@southerncrossgroup.com.au</t>
  </si>
  <si>
    <t>Andrew Mitchell</t>
  </si>
  <si>
    <t>Mitchell</t>
  </si>
  <si>
    <t>andrew@mitchcon.com.au</t>
  </si>
  <si>
    <t>Andrew Noakes</t>
  </si>
  <si>
    <t>Noakes</t>
  </si>
  <si>
    <t>andrew.noakes@holcim.com</t>
  </si>
  <si>
    <t>Angela Carpenter</t>
  </si>
  <si>
    <t>Angela</t>
  </si>
  <si>
    <t>Carpenter</t>
  </si>
  <si>
    <t>angela.carpenter@patriotgroup.com.au</t>
  </si>
  <si>
    <t>Anissa Gissing</t>
  </si>
  <si>
    <t>Anissa</t>
  </si>
  <si>
    <t>Gissing</t>
  </si>
  <si>
    <t>agissing@completefiresupply.com.au</t>
  </si>
  <si>
    <t>admin@flomarcivil.com</t>
  </si>
  <si>
    <t>Annie Gallagher</t>
  </si>
  <si>
    <t>Annie</t>
  </si>
  <si>
    <t>Gallagher</t>
  </si>
  <si>
    <t>annie@ausutilities.com.au</t>
  </si>
  <si>
    <t>Ben Gusti</t>
  </si>
  <si>
    <t>Ben</t>
  </si>
  <si>
    <t>Gusti</t>
  </si>
  <si>
    <t>b.gusti@chessindustries.com.au</t>
  </si>
  <si>
    <t>Bill Deans</t>
  </si>
  <si>
    <t>Bill</t>
  </si>
  <si>
    <t>Deans</t>
  </si>
  <si>
    <t>bill.deans@coates.com.au</t>
  </si>
  <si>
    <t>Brett Harmer</t>
  </si>
  <si>
    <t>Brett</t>
  </si>
  <si>
    <t>Harmer</t>
  </si>
  <si>
    <t>brettharmer@eurocivil.com.au</t>
  </si>
  <si>
    <t>Brian Callanan</t>
  </si>
  <si>
    <t>Brian</t>
  </si>
  <si>
    <t>Callanan</t>
  </si>
  <si>
    <t>brian@rafcivil.com.au</t>
  </si>
  <si>
    <t>Caleb Vellacott</t>
  </si>
  <si>
    <t>Caleb</t>
  </si>
  <si>
    <t>Vellacott</t>
  </si>
  <si>
    <t>caleb.vellacott@cirtex.com.au</t>
  </si>
  <si>
    <t>Carol Cooper</t>
  </si>
  <si>
    <t>Carol</t>
  </si>
  <si>
    <t>Cooper</t>
  </si>
  <si>
    <t>carol@nasi-pl.com.au</t>
  </si>
  <si>
    <t>Charles Gemmell</t>
  </si>
  <si>
    <t>Charles</t>
  </si>
  <si>
    <t>Gemmell</t>
  </si>
  <si>
    <t>admin@safedig.com.au</t>
  </si>
  <si>
    <t>Chelsea Stephens</t>
  </si>
  <si>
    <t>Chelsea</t>
  </si>
  <si>
    <t>Stephens</t>
  </si>
  <si>
    <t>chelsea.stephens@shadbolt.com.au</t>
  </si>
  <si>
    <t>Christian Grzankowski</t>
  </si>
  <si>
    <t>Christian</t>
  </si>
  <si>
    <t>Grzankowski</t>
  </si>
  <si>
    <t>christian@pacifichire.com.au</t>
  </si>
  <si>
    <t>Christopher Leslie</t>
  </si>
  <si>
    <t>Christopher</t>
  </si>
  <si>
    <t>Leslie</t>
  </si>
  <si>
    <t>christopher@wesseldrilling.com</t>
  </si>
  <si>
    <t>Ciara Nicholson</t>
  </si>
  <si>
    <t>Ciara</t>
  </si>
  <si>
    <t>Nicholson</t>
  </si>
  <si>
    <t>c.nicholson@kelkoconstruction.com.au</t>
  </si>
  <si>
    <t>Colm Rafferty</t>
  </si>
  <si>
    <t>Colm</t>
  </si>
  <si>
    <t>Rafferty</t>
  </si>
  <si>
    <t>crafferty@kennyconstructions.com.au</t>
  </si>
  <si>
    <t>Coralie Chapman</t>
  </si>
  <si>
    <t>Coralie</t>
  </si>
  <si>
    <t>Chapman</t>
  </si>
  <si>
    <t>coralie.chapman@holcim.com</t>
  </si>
  <si>
    <t>Craig Roberts</t>
  </si>
  <si>
    <t>Craig</t>
  </si>
  <si>
    <t>Roberts</t>
  </si>
  <si>
    <t>croberts@matrixdrilling.com.au</t>
  </si>
  <si>
    <t>Dallas Hyde</t>
  </si>
  <si>
    <t>Dallas</t>
  </si>
  <si>
    <t>Hyde</t>
  </si>
  <si>
    <t>dhyde@daly.net.au</t>
  </si>
  <si>
    <t>Damian Lawry</t>
  </si>
  <si>
    <t>Damian</t>
  </si>
  <si>
    <t>Lawry</t>
  </si>
  <si>
    <t>damian@careycivil.com.au</t>
  </si>
  <si>
    <t>Daniel Riley</t>
  </si>
  <si>
    <t>Daniel</t>
  </si>
  <si>
    <t>Riley</t>
  </si>
  <si>
    <t>daniel@imagelinemarking.com.au</t>
  </si>
  <si>
    <t>David Chernich</t>
  </si>
  <si>
    <t>David</t>
  </si>
  <si>
    <t>Chernich</t>
  </si>
  <si>
    <t>david.chernich@conplant.com.au</t>
  </si>
  <si>
    <t>David Edwards</t>
  </si>
  <si>
    <t>Edwards</t>
  </si>
  <si>
    <t>david.edwards@tuttbryant.com.au</t>
  </si>
  <si>
    <t>David Quinn</t>
  </si>
  <si>
    <t>Quinn</t>
  </si>
  <si>
    <t>david@quinnex.com.au</t>
  </si>
  <si>
    <t>Dean Ackinclose</t>
  </si>
  <si>
    <t>Dean</t>
  </si>
  <si>
    <t>Ackinclose</t>
  </si>
  <si>
    <t>dean@specialisedaccessandscaffolding.com.au</t>
  </si>
  <si>
    <t>Emily Williamson</t>
  </si>
  <si>
    <t>Emily</t>
  </si>
  <si>
    <t>Williamson</t>
  </si>
  <si>
    <t>emily@strategicdrilling.com.au</t>
  </si>
  <si>
    <t>Fifi Bahouche</t>
  </si>
  <si>
    <t>Fifi</t>
  </si>
  <si>
    <t>Bahouche</t>
  </si>
  <si>
    <t>challengecivilgroup@hotmail.com</t>
  </si>
  <si>
    <t>Fiona Allin</t>
  </si>
  <si>
    <t>Fiona</t>
  </si>
  <si>
    <t>Allin</t>
  </si>
  <si>
    <t>pressureworksptyltd@bigpond.com</t>
  </si>
  <si>
    <t>Fiona Perley</t>
  </si>
  <si>
    <t>Perley</t>
  </si>
  <si>
    <t>fiona.perley@symal.com.au</t>
  </si>
  <si>
    <t>Florencia Marcella</t>
  </si>
  <si>
    <t>Florencia</t>
  </si>
  <si>
    <t>Marcella</t>
  </si>
  <si>
    <t>florencia.marcella@holcim.com</t>
  </si>
  <si>
    <t>Genna Raber</t>
  </si>
  <si>
    <t>Genna</t>
  </si>
  <si>
    <t>Raber</t>
  </si>
  <si>
    <t>genna@stgpumps.com.au</t>
  </si>
  <si>
    <t>Glenn Hubbard</t>
  </si>
  <si>
    <t>Glenn</t>
  </si>
  <si>
    <t>Hubbard</t>
  </si>
  <si>
    <t>glenn@outrite.com.au</t>
  </si>
  <si>
    <t>Graham Dibdin</t>
  </si>
  <si>
    <t>Graham</t>
  </si>
  <si>
    <t>Dibdin</t>
  </si>
  <si>
    <t>g.dibdin@chessindustries.com.au</t>
  </si>
  <si>
    <t>Greg Fulmer</t>
  </si>
  <si>
    <t>Greg</t>
  </si>
  <si>
    <t>Fulmer</t>
  </si>
  <si>
    <t>greg@rasmith.com.au</t>
  </si>
  <si>
    <t>Greg Stephens</t>
  </si>
  <si>
    <t>gscivil@bigpond.com</t>
  </si>
  <si>
    <t>Greg Taylor</t>
  </si>
  <si>
    <t>Taylor</t>
  </si>
  <si>
    <t>greg.t@megatilt.com.au</t>
  </si>
  <si>
    <t>Guillaume Zigan</t>
  </si>
  <si>
    <t>Guillaume</t>
  </si>
  <si>
    <t>Zigan</t>
  </si>
  <si>
    <t>estimating@astern.com.au</t>
  </si>
  <si>
    <t>Harry Howard</t>
  </si>
  <si>
    <t>Harry</t>
  </si>
  <si>
    <t>Howard</t>
  </si>
  <si>
    <t>harry@hexhire.com.au</t>
  </si>
  <si>
    <t>Hayden Bryan</t>
  </si>
  <si>
    <t>Hayden</t>
  </si>
  <si>
    <t>Bryan</t>
  </si>
  <si>
    <t>hayden@brycodw.com</t>
  </si>
  <si>
    <t>Helen Davies</t>
  </si>
  <si>
    <t>Helen</t>
  </si>
  <si>
    <t>Davies</t>
  </si>
  <si>
    <t>helen@powerwatergas.com.au</t>
  </si>
  <si>
    <t>Isabelle Corbett</t>
  </si>
  <si>
    <t>Isabelle</t>
  </si>
  <si>
    <t>Corbett</t>
  </si>
  <si>
    <t>isabelle.corbett@civx.com.au</t>
  </si>
  <si>
    <t>James Dunn</t>
  </si>
  <si>
    <t>James</t>
  </si>
  <si>
    <t>Dunn</t>
  </si>
  <si>
    <t>jdunn@freyssinet.com.au</t>
  </si>
  <si>
    <t>Jamie Brown</t>
  </si>
  <si>
    <t>Jamie</t>
  </si>
  <si>
    <t>Brown</t>
  </si>
  <si>
    <t>jamie.brown@qube.com.au</t>
  </si>
  <si>
    <t>Jason Farrell</t>
  </si>
  <si>
    <t>Jason</t>
  </si>
  <si>
    <t>Farrell</t>
  </si>
  <si>
    <t>jason@qpstress.com.au</t>
  </si>
  <si>
    <t>Jason Ji</t>
  </si>
  <si>
    <t>Ji</t>
  </si>
  <si>
    <t>admin@precastconcrete.com.au</t>
  </si>
  <si>
    <t>Jason Rainbow</t>
  </si>
  <si>
    <t>Rainbow</t>
  </si>
  <si>
    <t>jasoneps1@bigpond.com</t>
  </si>
  <si>
    <t>Jean Mollinger</t>
  </si>
  <si>
    <t>Jean</t>
  </si>
  <si>
    <t>Mollinger</t>
  </si>
  <si>
    <t>jean@neilsens.com.au</t>
  </si>
  <si>
    <t>Jeremy Mitchell</t>
  </si>
  <si>
    <t>Jeremy</t>
  </si>
  <si>
    <t>jeremy@allmarklinemarking.com.au</t>
  </si>
  <si>
    <t>Jill Finlay</t>
  </si>
  <si>
    <t>Jill</t>
  </si>
  <si>
    <t>Finlay</t>
  </si>
  <si>
    <t>jill@blask.com.au</t>
  </si>
  <si>
    <t>Jim Thrush</t>
  </si>
  <si>
    <t>Jim</t>
  </si>
  <si>
    <t>Thrush</t>
  </si>
  <si>
    <t>jim.thrush@kenrometal.com.au</t>
  </si>
  <si>
    <t>Joe Bassil</t>
  </si>
  <si>
    <t>Joe</t>
  </si>
  <si>
    <t>Bassil</t>
  </si>
  <si>
    <t>joe@altitudeconstructiongroup.com.au</t>
  </si>
  <si>
    <t>joe@stgpumps.com.au</t>
  </si>
  <si>
    <t>joe@firstnationgroup.com.au</t>
  </si>
  <si>
    <t>Joe Joseph</t>
  </si>
  <si>
    <t>Joseph</t>
  </si>
  <si>
    <t>joe@focusmachinery.com.au</t>
  </si>
  <si>
    <t>Joel Kanard</t>
  </si>
  <si>
    <t>Joel</t>
  </si>
  <si>
    <t>Kanard</t>
  </si>
  <si>
    <t>joel_xmt@bigpond.com.au</t>
  </si>
  <si>
    <t>John</t>
  </si>
  <si>
    <t>Jon Akkary</t>
  </si>
  <si>
    <t>Jon</t>
  </si>
  <si>
    <t>Akkary</t>
  </si>
  <si>
    <t>jakkary@acwhalan.com.au</t>
  </si>
  <si>
    <t>Jose Espinoza</t>
  </si>
  <si>
    <t>Jose</t>
  </si>
  <si>
    <t>Espinoza</t>
  </si>
  <si>
    <t>jose.espinoza@gonzalezsteel.com.au</t>
  </si>
  <si>
    <t>Joseph Saab</t>
  </si>
  <si>
    <t>Saab</t>
  </si>
  <si>
    <t>joseph@projectcivilgroup.com.au</t>
  </si>
  <si>
    <t>Julie Smith</t>
  </si>
  <si>
    <t>Julie</t>
  </si>
  <si>
    <t>Smith</t>
  </si>
  <si>
    <t>julie.smith@hihaul.com.au</t>
  </si>
  <si>
    <t>Justin Twell</t>
  </si>
  <si>
    <t>Justin</t>
  </si>
  <si>
    <t>justin.t@evolutiongroup.com.au</t>
  </si>
  <si>
    <t>Karen Follington</t>
  </si>
  <si>
    <t>Karen</t>
  </si>
  <si>
    <t>Follington</t>
  </si>
  <si>
    <t>justin.twell@ermg.com.au</t>
  </si>
  <si>
    <t>Kathryn Mclean</t>
  </si>
  <si>
    <t>Kathryn</t>
  </si>
  <si>
    <t>Mclean</t>
  </si>
  <si>
    <t>karen.follington@civx.com.au</t>
  </si>
  <si>
    <t>Kathryn McLean</t>
  </si>
  <si>
    <t>McLean</t>
  </si>
  <si>
    <t>admin@deltakerbing.com.au</t>
  </si>
  <si>
    <t>Kayla Smethurst</t>
  </si>
  <si>
    <t>Kayla</t>
  </si>
  <si>
    <t>Smethurst</t>
  </si>
  <si>
    <t>katie@durkin.au</t>
  </si>
  <si>
    <t>Kirrily Dibben</t>
  </si>
  <si>
    <t>Kirrily</t>
  </si>
  <si>
    <t>Dibben</t>
  </si>
  <si>
    <t>kayla@kwillfabrications.com.au</t>
  </si>
  <si>
    <t>Kirsty Dawson</t>
  </si>
  <si>
    <t>Kirsty</t>
  </si>
  <si>
    <t>Dawson</t>
  </si>
  <si>
    <t>kdibben@fugen.com.au</t>
  </si>
  <si>
    <t>Kriti Thapa</t>
  </si>
  <si>
    <t>Kriti</t>
  </si>
  <si>
    <t>Thapa</t>
  </si>
  <si>
    <t>kirsty@freightmovement.com.au</t>
  </si>
  <si>
    <t>Kylie O'Loughlin</t>
  </si>
  <si>
    <t>Kylie</t>
  </si>
  <si>
    <t>O'Loughlin</t>
  </si>
  <si>
    <t>kthapa@egansgroup.com.au</t>
  </si>
  <si>
    <t>Lachie Sinclair</t>
  </si>
  <si>
    <t>Lachie</t>
  </si>
  <si>
    <t>Sinclair</t>
  </si>
  <si>
    <t>kylie@southerncranes.com.au</t>
  </si>
  <si>
    <t>Leanne Whyte</t>
  </si>
  <si>
    <t>Leanne</t>
  </si>
  <si>
    <t>Whyte</t>
  </si>
  <si>
    <t>lachlan@adamsonearthmovers.com.au</t>
  </si>
  <si>
    <t>info@whytecivil.com</t>
  </si>
  <si>
    <t>Leigh Collett</t>
  </si>
  <si>
    <t>Leigh</t>
  </si>
  <si>
    <t>Collett</t>
  </si>
  <si>
    <t>walfordtransport@hotmail.com.au</t>
  </si>
  <si>
    <t>Leslie Doneman</t>
  </si>
  <si>
    <t>Doneman</t>
  </si>
  <si>
    <t>leigh@lctrucking.com.au</t>
  </si>
  <si>
    <t>Lewis Arnold</t>
  </si>
  <si>
    <t>Lewis</t>
  </si>
  <si>
    <t>Arnold</t>
  </si>
  <si>
    <t>lesliedoneman@mansell.com.au</t>
  </si>
  <si>
    <t>Loic Briodin</t>
  </si>
  <si>
    <t>Loic</t>
  </si>
  <si>
    <t>Briodin</t>
  </si>
  <si>
    <t>lewis@barzenprojects.com.au</t>
  </si>
  <si>
    <t>Manuel Lazos</t>
  </si>
  <si>
    <t>Manuel</t>
  </si>
  <si>
    <t>Lazos</t>
  </si>
  <si>
    <t>lbriodin@cubis-systems.com.au</t>
  </si>
  <si>
    <t>Mark Harrison</t>
  </si>
  <si>
    <t>Mark</t>
  </si>
  <si>
    <t>Harrison</t>
  </si>
  <si>
    <t>mlazos@therixgroup.com.au</t>
  </si>
  <si>
    <t>Matt Boyer</t>
  </si>
  <si>
    <t>Matt</t>
  </si>
  <si>
    <t>Boyer</t>
  </si>
  <si>
    <t>mark.harrison@railcontrol.com.au</t>
  </si>
  <si>
    <t>Matthew Collins</t>
  </si>
  <si>
    <t>Matthew</t>
  </si>
  <si>
    <t>Collins</t>
  </si>
  <si>
    <t>mboyer@rapidcrete.com.au</t>
  </si>
  <si>
    <t>Matthew Russell</t>
  </si>
  <si>
    <t>Russell</t>
  </si>
  <si>
    <t>matthew@outrite.com.au</t>
  </si>
  <si>
    <t>Megan O���Connor</t>
  </si>
  <si>
    <t>Megan</t>
  </si>
  <si>
    <t>Connor</t>
  </si>
  <si>
    <t>matthew.russell@avopiling.com.au</t>
  </si>
  <si>
    <t>Melanie Ritchie</t>
  </si>
  <si>
    <t>Melanie</t>
  </si>
  <si>
    <t>Ritchie</t>
  </si>
  <si>
    <t>moconnor@cfv.com.au</t>
  </si>
  <si>
    <t>Michael Barden</t>
  </si>
  <si>
    <t>Michael</t>
  </si>
  <si>
    <t>Barden</t>
  </si>
  <si>
    <t>melanie@mjbcontractors.com.au</t>
  </si>
  <si>
    <t>Michael Biviano</t>
  </si>
  <si>
    <t>Biviano</t>
  </si>
  <si>
    <t>michael@refiregroup.com.au</t>
  </si>
  <si>
    <t>Michael Dagg</t>
  </si>
  <si>
    <t>Dagg</t>
  </si>
  <si>
    <t>safety@twowaycranes.com.au</t>
  </si>
  <si>
    <t>Michael Roberts</t>
  </si>
  <si>
    <t>michaeldagg@maasgroup.com.au</t>
  </si>
  <si>
    <t>Michael Sapuppo</t>
  </si>
  <si>
    <t>Sapuppo</t>
  </si>
  <si>
    <t>michael.roberts@symal.com.au</t>
  </si>
  <si>
    <t>Mohammed Afraz</t>
  </si>
  <si>
    <t>Mohammed</t>
  </si>
  <si>
    <t>Afraz</t>
  </si>
  <si>
    <t>michaels@comfortsleep.com.au</t>
  </si>
  <si>
    <t>Mohammed Elcheikh</t>
  </si>
  <si>
    <t>Elcheikh</t>
  </si>
  <si>
    <t>afraz_transport@hotmail.com</t>
  </si>
  <si>
    <t>Myles Jackson</t>
  </si>
  <si>
    <t>Myles</t>
  </si>
  <si>
    <t>Jackson</t>
  </si>
  <si>
    <t>jimmylecheikh@live.com.au</t>
  </si>
  <si>
    <t>Natalie Sharkey</t>
  </si>
  <si>
    <t>Natalie</t>
  </si>
  <si>
    <t>Sharkey</t>
  </si>
  <si>
    <t>myles.jackson@marr.com.au</t>
  </si>
  <si>
    <t>Neal Schneider</t>
  </si>
  <si>
    <t>Neal</t>
  </si>
  <si>
    <t>Schneider</t>
  </si>
  <si>
    <t>natalie.sharkey@patriotgroup.com.au</t>
  </si>
  <si>
    <t>Nelson Da Silva</t>
  </si>
  <si>
    <t>Nelson</t>
  </si>
  <si>
    <t>Silva</t>
  </si>
  <si>
    <t>neals@speno.com.au</t>
  </si>
  <si>
    <t>Niall Corrigan</t>
  </si>
  <si>
    <t>Niall</t>
  </si>
  <si>
    <t>Corrigan</t>
  </si>
  <si>
    <t>nelson@seadar.com.au</t>
  </si>
  <si>
    <t>Nick Palankay</t>
  </si>
  <si>
    <t>Nick</t>
  </si>
  <si>
    <t>Palankay</t>
  </si>
  <si>
    <t>niall@durkinconstruction.com.au</t>
  </si>
  <si>
    <t>Nigel Hodges</t>
  </si>
  <si>
    <t>Nigel</t>
  </si>
  <si>
    <t>Hodges</t>
  </si>
  <si>
    <t>hseq@hdd.net.au</t>
  </si>
  <si>
    <t>Paul Skinner</t>
  </si>
  <si>
    <t>Paul</t>
  </si>
  <si>
    <t>Skinner</t>
  </si>
  <si>
    <t>nmgcompliance@mansell.com.au</t>
  </si>
  <si>
    <t>Paul Vanderlugt</t>
  </si>
  <si>
    <t>Vanderlugt</t>
  </si>
  <si>
    <t>paul.s@arcadia.com.au</t>
  </si>
  <si>
    <t>Pierre Thomas</t>
  </si>
  <si>
    <t>Pierre</t>
  </si>
  <si>
    <t>Thomas</t>
  </si>
  <si>
    <t>paul.vanderlugt@alimakgroup.com</t>
  </si>
  <si>
    <t>Rakelle Khoury</t>
  </si>
  <si>
    <t>Rakelle</t>
  </si>
  <si>
    <t>Khoury</t>
  </si>
  <si>
    <t>pthomas@reco.com.au</t>
  </si>
  <si>
    <t>Raymond Attard</t>
  </si>
  <si>
    <t>Raymond</t>
  </si>
  <si>
    <t>Attard</t>
  </si>
  <si>
    <t>r.khoury@eilbeckcranes.com</t>
  </si>
  <si>
    <t>Rhys Hibberd</t>
  </si>
  <si>
    <t>Rhys</t>
  </si>
  <si>
    <t>Hibberd</t>
  </si>
  <si>
    <t>raymondattard@westkon.com.au</t>
  </si>
  <si>
    <t>Rhys Newman</t>
  </si>
  <si>
    <t>Newman</t>
  </si>
  <si>
    <t>rhys@gvpfabricators.com.au</t>
  </si>
  <si>
    <t>Rob Perks</t>
  </si>
  <si>
    <t>Rob</t>
  </si>
  <si>
    <t>Perks</t>
  </si>
  <si>
    <t>rhys.newman@downergroup.com</t>
  </si>
  <si>
    <t>Robert Mitchell</t>
  </si>
  <si>
    <t>Robert</t>
  </si>
  <si>
    <t>rob.p@jkrgroup.com.au</t>
  </si>
  <si>
    <t>Robert Rutledge</t>
  </si>
  <si>
    <t>Rutledge</t>
  </si>
  <si>
    <t>r.mitchell@ferrycarrig.com.au</t>
  </si>
  <si>
    <t>Robert Stanford</t>
  </si>
  <si>
    <t>Stanford</t>
  </si>
  <si>
    <t>rrutledge@safedig.com.au</t>
  </si>
  <si>
    <t>Roel Guevarra</t>
  </si>
  <si>
    <t>Roel</t>
  </si>
  <si>
    <t>Guevarra</t>
  </si>
  <si>
    <t>rob@encoprecast.com.au</t>
  </si>
  <si>
    <t>Rose Pavlic</t>
  </si>
  <si>
    <t>Rose</t>
  </si>
  <si>
    <t>Pavlic</t>
  </si>
  <si>
    <t>roel@cagemaker.com.au</t>
  </si>
  <si>
    <t>Sam Barrow</t>
  </si>
  <si>
    <t>Sam</t>
  </si>
  <si>
    <t>Barrow</t>
  </si>
  <si>
    <t>pavlicrosemaree@gmail.com</t>
  </si>
  <si>
    <t>Sam Cooper</t>
  </si>
  <si>
    <t>samantha@wallacepumping.com.au</t>
  </si>
  <si>
    <t>Sam Whalan</t>
  </si>
  <si>
    <t>Whalan</t>
  </si>
  <si>
    <t>sam.cooper@careycivil.com.au</t>
  </si>
  <si>
    <t>Sarah Norsworthy</t>
  </si>
  <si>
    <t>Sarah</t>
  </si>
  <si>
    <t>Norsworthy</t>
  </si>
  <si>
    <t>sam@acwhalan.com.au</t>
  </si>
  <si>
    <t>info@conoservices.com.au</t>
  </si>
  <si>
    <t>Scott Baker</t>
  </si>
  <si>
    <t>Scott</t>
  </si>
  <si>
    <t>Baker</t>
  </si>
  <si>
    <t>sasha@norconslipforming.com</t>
  </si>
  <si>
    <t>Scott De La Rue</t>
  </si>
  <si>
    <t>Rue</t>
  </si>
  <si>
    <t>scott.baker@hoepners.com.au</t>
  </si>
  <si>
    <t>Scott Mason</t>
  </si>
  <si>
    <t>Mason</t>
  </si>
  <si>
    <t>scott.delarue@tuttbryant.com.au</t>
  </si>
  <si>
    <t>Scott Mcarthur</t>
  </si>
  <si>
    <t>Mcarthur</t>
  </si>
  <si>
    <t>scott.mason@onlinefire.com.au</t>
  </si>
  <si>
    <t>Scott Nipper</t>
  </si>
  <si>
    <t>Nipper</t>
  </si>
  <si>
    <t>smcarthur@therixgroup.com.au</t>
  </si>
  <si>
    <t>Sean Astern</t>
  </si>
  <si>
    <t>Sean</t>
  </si>
  <si>
    <t>Astern</t>
  </si>
  <si>
    <t>scott@focusmachinery.com.au</t>
  </si>
  <si>
    <t>Seb Southan</t>
  </si>
  <si>
    <t>Seb</t>
  </si>
  <si>
    <t>Southan</t>
  </si>
  <si>
    <t>seana@astern.com.au</t>
  </si>
  <si>
    <t>Shalin Dullewe</t>
  </si>
  <si>
    <t>Shalin</t>
  </si>
  <si>
    <t>Dullewe</t>
  </si>
  <si>
    <t>seb.southan@jrrichards.com.au</t>
  </si>
  <si>
    <t>Shane Siversen</t>
  </si>
  <si>
    <t>Shane</t>
  </si>
  <si>
    <t>Siversen</t>
  </si>
  <si>
    <t>sdullewe@matrixdrilling.com.au</t>
  </si>
  <si>
    <t>Shannon Jacobsen</t>
  </si>
  <si>
    <t>Shannon</t>
  </si>
  <si>
    <t>Jacobsen</t>
  </si>
  <si>
    <t>shane@networkconnex.com.au</t>
  </si>
  <si>
    <t>Shannon Traynor</t>
  </si>
  <si>
    <t>Traynor</t>
  </si>
  <si>
    <t>shannon.j@qelectrical.com.au</t>
  </si>
  <si>
    <t>straynor@kennyconstructions.com.au</t>
  </si>
  <si>
    <t>Sharon</t>
  </si>
  <si>
    <t>accounts@newnhamtrucking.com.au</t>
  </si>
  <si>
    <t>Simon Wilkins</t>
  </si>
  <si>
    <t>Simon</t>
  </si>
  <si>
    <t>Wilkins</t>
  </si>
  <si>
    <t>simon@rsconform.com</t>
  </si>
  <si>
    <t>Sinead O���Connell</t>
  </si>
  <si>
    <t>Sinead</t>
  </si>
  <si>
    <t>Connell</t>
  </si>
  <si>
    <t>sinead.oc@vaughancivil.com.au</t>
  </si>
  <si>
    <t>Stella Wyllie</t>
  </si>
  <si>
    <t>Stella</t>
  </si>
  <si>
    <t>Wyllie</t>
  </si>
  <si>
    <t>invoices_xmt@outlook.com.au</t>
  </si>
  <si>
    <t>Susan Brook</t>
  </si>
  <si>
    <t>Susan</t>
  </si>
  <si>
    <t>Brook</t>
  </si>
  <si>
    <t>susan.brook@modcast.com.au</t>
  </si>
  <si>
    <t>Tess Mcmahon</t>
  </si>
  <si>
    <t>Tess</t>
  </si>
  <si>
    <t>Mcmahon</t>
  </si>
  <si>
    <t>tess.mcmahon@outlook.com.au</t>
  </si>
  <si>
    <t>Thomas Lois</t>
  </si>
  <si>
    <t>Lois</t>
  </si>
  <si>
    <t>thomas.l@mansourpaving.com.au</t>
  </si>
  <si>
    <t>Tim O���Connor</t>
  </si>
  <si>
    <t>Tim</t>
  </si>
  <si>
    <t>tim@abyssconstruction.com.au</t>
  </si>
  <si>
    <t>Timothy Shetty</t>
  </si>
  <si>
    <t>Timothy</t>
  </si>
  <si>
    <t>Shetty</t>
  </si>
  <si>
    <t>timothy.shetty@suascivil.com.au</t>
  </si>
  <si>
    <t>Tom Want</t>
  </si>
  <si>
    <t>Tom</t>
  </si>
  <si>
    <t>Want</t>
  </si>
  <si>
    <t>tom.w@hllandscapes.com.au</t>
  </si>
  <si>
    <t>Tracey Pol</t>
  </si>
  <si>
    <t>Tracey</t>
  </si>
  <si>
    <t>Pol</t>
  </si>
  <si>
    <t>tracey.pol@csaspecialised.com.au</t>
  </si>
  <si>
    <t>Uwe Jaeger</t>
  </si>
  <si>
    <t>Uwe</t>
  </si>
  <si>
    <t>Jaeger</t>
  </si>
  <si>
    <t>uwe.jaeger@evolutioncivil.com.au</t>
  </si>
  <si>
    <t>Warren Rapinett</t>
  </si>
  <si>
    <t>Warren</t>
  </si>
  <si>
    <t>Rapinett</t>
  </si>
  <si>
    <t>warren.r@allfasteners.com.au</t>
  </si>
  <si>
    <t>Warren Russell</t>
  </si>
  <si>
    <t>warren@slaneypty.com.au</t>
  </si>
  <si>
    <t>Trevor</t>
  </si>
  <si>
    <t>trevor@made.com.au</t>
  </si>
  <si>
    <t>paul@ardeecivil.com.au</t>
  </si>
  <si>
    <t>Metrotow</t>
  </si>
  <si>
    <t>metrotow@bigpond.net.au</t>
  </si>
  <si>
    <t>admin@loadervacsolutions.com.au</t>
  </si>
  <si>
    <t>Corey</t>
  </si>
  <si>
    <t>corey@kangarootransporthaulage.com.au</t>
  </si>
  <si>
    <t>Maria Madafferi</t>
  </si>
  <si>
    <t>Maria</t>
  </si>
  <si>
    <t>Madafferi</t>
  </si>
  <si>
    <t>admin@tcbtrans.com.au</t>
  </si>
  <si>
    <t>Kelly</t>
  </si>
  <si>
    <t>kelly@precisionpipenetworks.com.au</t>
  </si>
  <si>
    <t>Whse</t>
  </si>
  <si>
    <t>whse@freshstartaustralia.com.au</t>
  </si>
  <si>
    <t>Vincent Odea</t>
  </si>
  <si>
    <t>Vincent</t>
  </si>
  <si>
    <t>Odea</t>
  </si>
  <si>
    <t>vincent.odea@mcmservices.com.au</t>
  </si>
  <si>
    <t>mark@abovescaffolding.com.au</t>
  </si>
  <si>
    <t>whs@ausutilities.com.au</t>
  </si>
  <si>
    <t>Michelle Nelson</t>
  </si>
  <si>
    <t>Michelle</t>
  </si>
  <si>
    <t>admin@sweepnkleen.com.au</t>
  </si>
  <si>
    <t>Atco Structures &amp; Logistics Pty Ltd</t>
  </si>
  <si>
    <t xml:space="preserve">Carolyn </t>
  </si>
  <si>
    <t>Jones</t>
  </si>
  <si>
    <t>carolyn.jones@atco.com</t>
  </si>
  <si>
    <t>Frank Obrien</t>
  </si>
  <si>
    <t>Frank</t>
  </si>
  <si>
    <t>Obrien</t>
  </si>
  <si>
    <t>frank.obrien@rsrg.com</t>
  </si>
  <si>
    <t>Aya Makki</t>
  </si>
  <si>
    <t>Aya</t>
  </si>
  <si>
    <t>Makki</t>
  </si>
  <si>
    <t>accounts@safgroup.com.au</t>
  </si>
  <si>
    <t>Kellysearthworks</t>
  </si>
  <si>
    <t>kellysearthworks@yahoo.com.au</t>
  </si>
  <si>
    <t>Bettsblastingptyltd</t>
  </si>
  <si>
    <t>bettsblastingptyltd@gmail.com</t>
  </si>
  <si>
    <t>singleton@acwhalan.com.au</t>
  </si>
  <si>
    <t>Junaidk</t>
  </si>
  <si>
    <t>junaidk@calbah.com</t>
  </si>
  <si>
    <t>Toby Hoy</t>
  </si>
  <si>
    <t>Toby</t>
  </si>
  <si>
    <t>Hoy</t>
  </si>
  <si>
    <t>admin@evmaustralia.com.au</t>
  </si>
  <si>
    <t>Adam Moukahal</t>
  </si>
  <si>
    <t>Moukahal</t>
  </si>
  <si>
    <t>adam.moukahal@boral.com.au</t>
  </si>
  <si>
    <t>Ronan Brady</t>
  </si>
  <si>
    <t>Ronan</t>
  </si>
  <si>
    <t>Brady</t>
  </si>
  <si>
    <t>ronan.brady@robarcivil.com.au</t>
  </si>
  <si>
    <t>Jane</t>
  </si>
  <si>
    <t>jane@emccivil.net.au</t>
  </si>
  <si>
    <t>Alicia Rich</t>
  </si>
  <si>
    <t>Alicia</t>
  </si>
  <si>
    <t>Rich</t>
  </si>
  <si>
    <t>alicia.rich@gridlogistics.com.au</t>
  </si>
  <si>
    <t>David Hart</t>
  </si>
  <si>
    <t>Hart</t>
  </si>
  <si>
    <t>david.hart@thomaskingsley.com.au</t>
  </si>
  <si>
    <t>jon@awpco.com.au</t>
  </si>
  <si>
    <t>Wayne McAulay</t>
  </si>
  <si>
    <t>Wayne</t>
  </si>
  <si>
    <t>McAulay</t>
  </si>
  <si>
    <t>admin@completeits.com.au</t>
  </si>
  <si>
    <t>Aarono</t>
  </si>
  <si>
    <t>aarono@hiways.com.au</t>
  </si>
  <si>
    <t>247 Fuels Pty Ltd</t>
  </si>
  <si>
    <t>ben@hyperiontechnology.com.au</t>
  </si>
  <si>
    <t>Shaun Jones</t>
  </si>
  <si>
    <t>Shaun</t>
  </si>
  <si>
    <t>shaun.jones@trelleborg.com</t>
  </si>
  <si>
    <t>Abir Abdallah</t>
  </si>
  <si>
    <t>Abir</t>
  </si>
  <si>
    <t>Abdallah</t>
  </si>
  <si>
    <t>info@ishift.com.au</t>
  </si>
  <si>
    <t>Kc Rabbit</t>
  </si>
  <si>
    <t>Kc</t>
  </si>
  <si>
    <t>Rabbit</t>
  </si>
  <si>
    <t>kc.rabbit@bigpond.com</t>
  </si>
  <si>
    <t>Gilliescivil</t>
  </si>
  <si>
    <t>gilliescivil@gmail.com</t>
  </si>
  <si>
    <t>John Hanna</t>
  </si>
  <si>
    <t>Hanna</t>
  </si>
  <si>
    <t>john.hanna@universalcranes.com</t>
  </si>
  <si>
    <t>Jeanette</t>
  </si>
  <si>
    <t>admin@skeffmac.com</t>
  </si>
  <si>
    <t>Jwilliams</t>
  </si>
  <si>
    <t>jwilliams@acecon.com.au</t>
  </si>
  <si>
    <t>Mooreconserv</t>
  </si>
  <si>
    <t>mooreconserv@gmail.com</t>
  </si>
  <si>
    <t>Mick Grisinski</t>
  </si>
  <si>
    <t>Mick</t>
  </si>
  <si>
    <t>Grisinski</t>
  </si>
  <si>
    <t>mick.grisinski@cdcplumbing.com</t>
  </si>
  <si>
    <t>Mbodor</t>
  </si>
  <si>
    <t>mbodor@fredon.com.au</t>
  </si>
  <si>
    <t>Dhamo Raj</t>
  </si>
  <si>
    <t>Dhamo</t>
  </si>
  <si>
    <t>Raj</t>
  </si>
  <si>
    <t>info@shearform.com.au</t>
  </si>
  <si>
    <t>Alan Alagappan</t>
  </si>
  <si>
    <t>Alagappan</t>
  </si>
  <si>
    <t>alan.alagappan@eesa.net.au</t>
  </si>
  <si>
    <t>Caz Luke</t>
  </si>
  <si>
    <t>Caz</t>
  </si>
  <si>
    <t>Luke</t>
  </si>
  <si>
    <t>office@earthtek.net.au</t>
  </si>
  <si>
    <t>hayden@aplustraffic.com.au</t>
  </si>
  <si>
    <t>Ash</t>
  </si>
  <si>
    <t>ash@rpmhire.com.au</t>
  </si>
  <si>
    <t>Debbie Martin</t>
  </si>
  <si>
    <t>Debbie</t>
  </si>
  <si>
    <t>Martin</t>
  </si>
  <si>
    <t>admin@hughesplant.com.au</t>
  </si>
  <si>
    <t>Compliance</t>
  </si>
  <si>
    <t>compliance@vch.com.au</t>
  </si>
  <si>
    <t>Warren Kopp</t>
  </si>
  <si>
    <t>Kopp</t>
  </si>
  <si>
    <t>warrenakopp@gmail.com</t>
  </si>
  <si>
    <t>Brendan Foran</t>
  </si>
  <si>
    <t>Brendan</t>
  </si>
  <si>
    <t>Foran</t>
  </si>
  <si>
    <t>brendan@forancivil.com</t>
  </si>
  <si>
    <t>dean@xcelgroup.com.au</t>
  </si>
  <si>
    <t>John Clancy</t>
  </si>
  <si>
    <t>Clancy</t>
  </si>
  <si>
    <t>millenniumplumbing@bigpond.com</t>
  </si>
  <si>
    <t>Jason Salter</t>
  </si>
  <si>
    <t>Salter</t>
  </si>
  <si>
    <t>jason@marineindustriesvictoria.com.au</t>
  </si>
  <si>
    <t>Tim Lane</t>
  </si>
  <si>
    <t>Lane</t>
  </si>
  <si>
    <t>tim@dsgroup.net.au</t>
  </si>
  <si>
    <t>Tam Nguyen</t>
  </si>
  <si>
    <t>Tam</t>
  </si>
  <si>
    <t>Nguyen</t>
  </si>
  <si>
    <t>tam@tallaicon.com.au</t>
  </si>
  <si>
    <t>Neel Patel</t>
  </si>
  <si>
    <t>Neel</t>
  </si>
  <si>
    <t>Patel</t>
  </si>
  <si>
    <t>Neel.Patel@boral.com.au</t>
  </si>
  <si>
    <t>Matthew Sutton</t>
  </si>
  <si>
    <t>Sutton</t>
  </si>
  <si>
    <t>sales@retainingsolutions.com.au</t>
  </si>
  <si>
    <t>Nigel Ballarin</t>
  </si>
  <si>
    <t>Ballarin</t>
  </si>
  <si>
    <t>NigelB@idec.com.au</t>
  </si>
  <si>
    <t>Mark Whitfield</t>
  </si>
  <si>
    <t>Whitfield</t>
  </si>
  <si>
    <t>Mark.Whitfield@orangehire.com.au</t>
  </si>
  <si>
    <t>Ccs</t>
  </si>
  <si>
    <t>ccs@hotmail.com.au</t>
  </si>
  <si>
    <t>Ron Terpstra</t>
  </si>
  <si>
    <t>Ron</t>
  </si>
  <si>
    <t>Terpstra</t>
  </si>
  <si>
    <t>ron.terpstra@stardrilling.com.au</t>
  </si>
  <si>
    <t>Jo Walker</t>
  </si>
  <si>
    <t>Jo</t>
  </si>
  <si>
    <t>Walker</t>
  </si>
  <si>
    <t>jo@drilltec.com.au</t>
  </si>
  <si>
    <t>Jaco Venter</t>
  </si>
  <si>
    <t>Jaco</t>
  </si>
  <si>
    <t>Venter</t>
  </si>
  <si>
    <t>Jaco.Venter@Wabtec.com</t>
  </si>
  <si>
    <t>Corey Blood</t>
  </si>
  <si>
    <t>Blood</t>
  </si>
  <si>
    <t>corey@crownscaffold.com.au</t>
  </si>
  <si>
    <t>David Harris</t>
  </si>
  <si>
    <t>Harris</t>
  </si>
  <si>
    <t>djharrisearthmoving@bigpond.com</t>
  </si>
  <si>
    <t>Richard Marshall</t>
  </si>
  <si>
    <t>Richard</t>
  </si>
  <si>
    <t>Marshall</t>
  </si>
  <si>
    <t>richard.marshall@sixense-group.com</t>
  </si>
  <si>
    <t>Con Sahinis</t>
  </si>
  <si>
    <t>Con</t>
  </si>
  <si>
    <t>Sahinis</t>
  </si>
  <si>
    <t>Con.Sahinis@rocla.com.au</t>
  </si>
  <si>
    <t>CAA11508</t>
  </si>
  <si>
    <t>CAA11509</t>
  </si>
  <si>
    <t>CAA11510</t>
  </si>
  <si>
    <t>CAA11511</t>
  </si>
  <si>
    <t>CAA11512</t>
  </si>
  <si>
    <t>CAA11513</t>
  </si>
  <si>
    <t>CAA11514</t>
  </si>
  <si>
    <t>CAA11515</t>
  </si>
  <si>
    <t>CAA11516</t>
  </si>
  <si>
    <t>CAA11517</t>
  </si>
  <si>
    <t>A11508</t>
  </si>
  <si>
    <t>A11509</t>
  </si>
  <si>
    <t>A11510</t>
  </si>
  <si>
    <t>A11511</t>
  </si>
  <si>
    <t>A11512</t>
  </si>
  <si>
    <t>A11513</t>
  </si>
  <si>
    <t>A11514</t>
  </si>
  <si>
    <t>A11515</t>
  </si>
  <si>
    <t>A11516</t>
  </si>
  <si>
    <t>A11517</t>
  </si>
  <si>
    <t>CAA11508-1</t>
  </si>
  <si>
    <t>CAA11509-1</t>
  </si>
  <si>
    <t>CAA11510-1</t>
  </si>
  <si>
    <t>CAA11511-1</t>
  </si>
  <si>
    <t>CAA11512-1</t>
  </si>
  <si>
    <t>CAA11513-1</t>
  </si>
  <si>
    <t>CAA11514-1</t>
  </si>
  <si>
    <t>CAA11515-1</t>
  </si>
  <si>
    <t>CAA11516-1</t>
  </si>
  <si>
    <t>CAA11517-1</t>
  </si>
  <si>
    <t>Integrated Heavylift Pty Ltd</t>
  </si>
  <si>
    <t>De La Rue</t>
  </si>
  <si>
    <t>scott.delarue@integratedheavylift.com.au</t>
  </si>
  <si>
    <t>a.kotecha@chessindustries.com.au</t>
  </si>
  <si>
    <t xml:space="preserve">Anjali Kotecha </t>
  </si>
  <si>
    <t>Anjali</t>
  </si>
  <si>
    <t>Kotecha</t>
  </si>
  <si>
    <t>Client ABN</t>
  </si>
  <si>
    <t>Client ID</t>
  </si>
  <si>
    <t>Client Name</t>
  </si>
  <si>
    <t>M.E. &amp; A.J. Forrest &amp; Son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</si>
</sst>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3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m/yyyy"/>
      <alignment horizontal="left" vertical="bottom" textRotation="0" wrapText="0" indent="0" justifyLastLine="0" shrinkToFit="0" readingOrder="0"/>
    </dxf>
    <dxf>
      <numFmt numFmtId="19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/mm/yyyy;@"/>
      <alignment horizontal="left" vertical="bottom" textRotation="0" wrapText="0" indent="0" justifyLastLine="0" shrinkToFit="0" readingOrder="0"/>
    </dxf>
    <dxf>
      <numFmt numFmtId="164" formatCode="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udits" displayName="tblAudits" ref="A1:H517" dataDxfId="21">
  <autoFilter ref="A1:H517" xr:uid="{00000000-0009-0000-0100-000001000000}"/>
  <sortState xmlns:xlrd2="http://schemas.microsoft.com/office/spreadsheetml/2017/richdata2" ref="A2:H507">
    <sortCondition ref="A1:A507"/>
  </sortState>
  <tableColumns count="8">
    <tableColumn id="1" xr3:uid="{00000000-0010-0000-0000-000001000000}" name="Audit ID" dataDxfId="20"/>
    <tableColumn id="3" xr3:uid="{00000000-0010-0000-0000-000003000000}" name="Auditor" dataDxfId="19"/>
    <tableColumn id="4" xr3:uid="{00000000-0010-0000-0000-000004000000}" name="Start Date" dataDxfId="18"/>
    <tableColumn id="5" xr3:uid="{00000000-0010-0000-0000-000005000000}" name="End Date" dataDxfId="17"/>
    <tableColumn id="6" xr3:uid="{00000000-0010-0000-0000-000006000000}" name="Status" dataDxfId="16"/>
    <tableColumn id="7" xr3:uid="{00000000-0010-0000-0000-000007000000}" name="Audit Type" dataDxfId="15"/>
    <tableColumn id="8" xr3:uid="{00000000-0010-0000-0000-000008000000}" name="Client Name" dataDxfId="14"/>
    <tableColumn id="9" xr3:uid="{00000000-0010-0000-0000-000009000000}" name="Client ABN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ertificates" displayName="tblCertificates" ref="A1:K517" dataDxfId="33">
  <autoFilter ref="A1:K517" xr:uid="{00000000-0009-0000-0100-000002000000}"/>
  <sortState xmlns:xlrd2="http://schemas.microsoft.com/office/spreadsheetml/2017/richdata2" ref="A2:K517">
    <sortCondition ref="A1:A517"/>
  </sortState>
  <tableColumns count="11">
    <tableColumn id="1" xr3:uid="{00000000-0010-0000-0100-000001000000}" name="Certificate UID" dataDxfId="32"/>
    <tableColumn id="2" xr3:uid="{00000000-0010-0000-0100-000002000000}" name="Audit ID" dataDxfId="31"/>
    <tableColumn id="3" xr3:uid="{00000000-0010-0000-0100-000003000000}" name="Certificate Number" dataDxfId="30"/>
    <tableColumn id="4" xr3:uid="{00000000-0010-0000-0100-000004000000}" name="Version" dataDxfId="29"/>
    <tableColumn id="5" xr3:uid="{00000000-0010-0000-0100-000005000000}" name="Status" dataDxfId="28"/>
    <tableColumn id="7" xr3:uid="{00000000-0010-0000-0100-000007000000}" name="Issue Date" dataDxfId="27"/>
    <tableColumn id="8" xr3:uid="{00000000-0010-0000-0100-000008000000}" name="Expiry Date" dataDxfId="26">
      <calculatedColumnFormula>IF(F2="","",EDATE(F2,12)-1)</calculatedColumnFormula>
    </tableColumn>
    <tableColumn id="9" xr3:uid="{00000000-0010-0000-0100-000009000000}" name="Audit Type" dataDxfId="25"/>
    <tableColumn id="10" xr3:uid="{00000000-0010-0000-0100-00000A000000}" name="Client Name" dataDxfId="24"/>
    <tableColumn id="11" xr3:uid="{00000000-0010-0000-0100-00000B000000}" name="Client ABN" dataDxfId="23"/>
    <tableColumn id="14" xr3:uid="{00000000-0010-0000-0100-00000E000000}" name="Notes" dataDxfId="2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rgs" displayName="tblOrgs" ref="A1:C193" dataDxfId="12">
  <autoFilter ref="A1:C193" xr:uid="{00000000-0009-0000-0100-000003000000}"/>
  <tableColumns count="3">
    <tableColumn id="1" xr3:uid="{00000000-0010-0000-0200-000001000000}" name="Client ID" dataDxfId="11"/>
    <tableColumn id="2" xr3:uid="{00000000-0010-0000-0200-000002000000}" name="Client ABN" dataDxfId="10"/>
    <tableColumn id="3" xr3:uid="{00000000-0010-0000-0200-000003000000}" name="Client Name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6B1785-2D2D-4D53-A227-A5203A369A36}" name="Table4" displayName="Table4" ref="A1:G220" totalsRowShown="0" headerRowDxfId="8" dataDxfId="7">
  <autoFilter ref="A1:G220" xr:uid="{D56B1785-2D2D-4D53-A227-A5203A369A36}"/>
  <tableColumns count="7">
    <tableColumn id="1" xr3:uid="{51526047-5117-492B-99D0-8A5742FFE5DF}" name="Contact ID" dataDxfId="6"/>
    <tableColumn id="2" xr3:uid="{21754049-B603-47C0-A3F6-304DBEC6C853}" name="Display Name" dataDxfId="5"/>
    <tableColumn id="3" xr3:uid="{BB7E5C53-CB09-41CA-A8B8-B49338C85B8A}" name="First Name" dataDxfId="4"/>
    <tableColumn id="4" xr3:uid="{FB8E6851-E300-4A89-A362-156206517332}" name="Last Name" dataDxfId="3"/>
    <tableColumn id="5" xr3:uid="{AF08F75E-C906-43ED-BFFA-99770808E3C0}" name="Email" dataDxfId="2"/>
    <tableColumn id="6" xr3:uid="{6AF9A076-08BB-4992-A560-04A44099046C}" name="Is Active" dataDxfId="1"/>
    <tableColumn id="7" xr3:uid="{F9176CA2-3777-4BAB-80C5-305EF78DB6F2}" name="Client AB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7"/>
  <sheetViews>
    <sheetView topLeftCell="A506" workbookViewId="0">
      <selection activeCell="F525" sqref="F525"/>
    </sheetView>
  </sheetViews>
  <sheetFormatPr defaultRowHeight="15" x14ac:dyDescent="0.25"/>
  <cols>
    <col min="1" max="1" width="14.28515625" customWidth="1"/>
    <col min="2" max="2" width="22.140625" customWidth="1"/>
    <col min="3" max="4" width="17.28515625" bestFit="1" customWidth="1"/>
    <col min="5" max="5" width="13.7109375" customWidth="1"/>
    <col min="6" max="6" width="30.7109375" customWidth="1"/>
    <col min="7" max="7" width="48" customWidth="1"/>
    <col min="8" max="8" width="20.42578125" customWidth="1"/>
  </cols>
  <sheetData>
    <row r="1" spans="1:8" x14ac:dyDescent="0.25">
      <c r="A1" t="s">
        <v>0</v>
      </c>
      <c r="B1" t="s">
        <v>7</v>
      </c>
      <c r="C1" t="s">
        <v>8</v>
      </c>
      <c r="D1" t="s">
        <v>9</v>
      </c>
      <c r="E1" t="s">
        <v>3</v>
      </c>
      <c r="F1" t="s">
        <v>6</v>
      </c>
      <c r="G1" t="s">
        <v>2490</v>
      </c>
      <c r="H1" t="s">
        <v>2488</v>
      </c>
    </row>
    <row r="2" spans="1:8" x14ac:dyDescent="0.25">
      <c r="A2" s="1" t="s">
        <v>45</v>
      </c>
      <c r="B2" s="1" t="s">
        <v>11</v>
      </c>
      <c r="C2" s="2">
        <v>44018</v>
      </c>
      <c r="D2" s="2">
        <v>44018</v>
      </c>
      <c r="E2" s="1" t="s">
        <v>12</v>
      </c>
      <c r="F2" s="1" t="s">
        <v>13</v>
      </c>
      <c r="G2" s="1" t="str">
        <f>IF(H2="","",IFERROR(INDEX(tblOrgs[Client Name],MATCH(H2,tblOrgs[Client ABN],0)),""))</f>
        <v>Orange Equipment Pty Ltd</v>
      </c>
      <c r="H2" s="1">
        <v>97133373154</v>
      </c>
    </row>
    <row r="3" spans="1:8" x14ac:dyDescent="0.25">
      <c r="A3" s="1" t="s">
        <v>37</v>
      </c>
      <c r="B3" s="1" t="s">
        <v>11</v>
      </c>
      <c r="C3" s="2">
        <v>44017</v>
      </c>
      <c r="D3" s="2">
        <v>44017</v>
      </c>
      <c r="E3" s="1" t="s">
        <v>12</v>
      </c>
      <c r="F3" s="1" t="s">
        <v>13</v>
      </c>
      <c r="G3" s="1" t="str">
        <f>IF(H3="","",IFERROR(INDEX(tblOrgs[Client Name],MATCH(H3,tblOrgs[Client ABN],0)),""))</f>
        <v>LJ &amp; LJ Pty Ltd</v>
      </c>
      <c r="H3" s="1">
        <v>33612534442</v>
      </c>
    </row>
    <row r="4" spans="1:8" x14ac:dyDescent="0.25">
      <c r="A4" s="1" t="s">
        <v>19</v>
      </c>
      <c r="B4" s="1" t="s">
        <v>11</v>
      </c>
      <c r="C4" s="2">
        <v>44025</v>
      </c>
      <c r="D4" s="2">
        <v>44025</v>
      </c>
      <c r="E4" s="1" t="s">
        <v>12</v>
      </c>
      <c r="F4" s="1" t="s">
        <v>13</v>
      </c>
      <c r="G4" s="1" t="str">
        <f>IF(H4="","",IFERROR(INDEX(tblOrgs[Client Name],MATCH(H4,tblOrgs[Client ABN],0)),""))</f>
        <v>Brent Young Cranes Pty Ltd</v>
      </c>
      <c r="H4" s="1">
        <v>74795954655</v>
      </c>
    </row>
    <row r="5" spans="1:8" x14ac:dyDescent="0.25">
      <c r="A5" s="1" t="s">
        <v>32</v>
      </c>
      <c r="B5" s="1" t="s">
        <v>11</v>
      </c>
      <c r="C5" s="2">
        <v>44028</v>
      </c>
      <c r="D5" s="2">
        <v>44028</v>
      </c>
      <c r="E5" s="1" t="s">
        <v>12</v>
      </c>
      <c r="F5" s="1" t="s">
        <v>13</v>
      </c>
      <c r="G5" s="1" t="str">
        <f>IF(H5="","",IFERROR(INDEX(tblOrgs[Client Name],MATCH(H5,tblOrgs[Client ABN],0)),""))</f>
        <v>GVP Fabricators Pty Ltd</v>
      </c>
      <c r="H5" s="1">
        <v>59082132394</v>
      </c>
    </row>
    <row r="6" spans="1:8" x14ac:dyDescent="0.25">
      <c r="A6" s="1" t="s">
        <v>50</v>
      </c>
      <c r="B6" s="1" t="s">
        <v>11</v>
      </c>
      <c r="C6" s="2">
        <v>44032</v>
      </c>
      <c r="D6" s="2">
        <v>44032</v>
      </c>
      <c r="E6" s="1" t="s">
        <v>12</v>
      </c>
      <c r="F6" s="1" t="s">
        <v>13</v>
      </c>
      <c r="G6" s="1" t="str">
        <f>IF(H6="","",IFERROR(INDEX(tblOrgs[Client Name],MATCH(H6,tblOrgs[Client ABN],0)),""))</f>
        <v>Rocla Pty Limited</v>
      </c>
      <c r="H6" s="1">
        <v>31000032191</v>
      </c>
    </row>
    <row r="7" spans="1:8" x14ac:dyDescent="0.25">
      <c r="A7" s="1" t="s">
        <v>51</v>
      </c>
      <c r="B7" s="1" t="s">
        <v>11</v>
      </c>
      <c r="C7" s="2">
        <v>44029</v>
      </c>
      <c r="D7" s="2">
        <v>44029</v>
      </c>
      <c r="E7" s="1" t="s">
        <v>12</v>
      </c>
      <c r="F7" s="1" t="s">
        <v>13</v>
      </c>
      <c r="G7" s="1" t="str">
        <f>IF(H7="","",IFERROR(INDEX(tblOrgs[Client Name],MATCH(H7,tblOrgs[Client ABN],0)),""))</f>
        <v>RPM Hire Australia Pty Ltd</v>
      </c>
      <c r="H7" s="1">
        <v>30619873504</v>
      </c>
    </row>
    <row r="8" spans="1:8" x14ac:dyDescent="0.25">
      <c r="A8" s="1" t="s">
        <v>27</v>
      </c>
      <c r="B8" s="1" t="s">
        <v>11</v>
      </c>
      <c r="C8" s="2">
        <v>44030</v>
      </c>
      <c r="D8" s="2">
        <v>44030</v>
      </c>
      <c r="E8" s="1" t="s">
        <v>12</v>
      </c>
      <c r="F8" s="1" t="s">
        <v>13</v>
      </c>
      <c r="G8" s="1" t="str">
        <f>IF(H8="","",IFERROR(INDEX(tblOrgs[Client Name],MATCH(H8,tblOrgs[Client ABN],0)),""))</f>
        <v>Economical Engineering Services Australia Pty Ltd</v>
      </c>
      <c r="H8" s="1">
        <v>67136336831</v>
      </c>
    </row>
    <row r="9" spans="1:8" x14ac:dyDescent="0.25">
      <c r="A9" s="1" t="s">
        <v>33</v>
      </c>
      <c r="B9" s="1" t="s">
        <v>11</v>
      </c>
      <c r="C9" s="2">
        <v>44032</v>
      </c>
      <c r="D9" s="2">
        <v>44032</v>
      </c>
      <c r="E9" s="1" t="s">
        <v>12</v>
      </c>
      <c r="F9" s="1" t="s">
        <v>13</v>
      </c>
      <c r="G9" s="1" t="str">
        <f>IF(H9="","",IFERROR(INDEX(tblOrgs[Client Name],MATCH(H9,tblOrgs[Client ABN],0)),""))</f>
        <v>Holcim (Australia) Pty Ltd</v>
      </c>
      <c r="H9" s="1">
        <v>87099732297</v>
      </c>
    </row>
    <row r="10" spans="1:8" x14ac:dyDescent="0.25">
      <c r="A10" s="1" t="s">
        <v>59</v>
      </c>
      <c r="B10" s="1" t="s">
        <v>11</v>
      </c>
      <c r="C10" s="2">
        <v>44033</v>
      </c>
      <c r="D10" s="2">
        <v>44033</v>
      </c>
      <c r="E10" s="1" t="s">
        <v>12</v>
      </c>
      <c r="F10" s="1" t="s">
        <v>13</v>
      </c>
      <c r="G10" s="1" t="str">
        <f>IF(H10="","",IFERROR(INDEX(tblOrgs[Client Name],MATCH(H10,tblOrgs[Client ABN],0)),""))</f>
        <v>Wabtec Australia Pty Ltd</v>
      </c>
      <c r="H10" s="1">
        <v>61087058099</v>
      </c>
    </row>
    <row r="11" spans="1:8" x14ac:dyDescent="0.25">
      <c r="A11" s="1" t="s">
        <v>63</v>
      </c>
      <c r="B11" s="1" t="s">
        <v>11</v>
      </c>
      <c r="C11" s="2">
        <v>44034</v>
      </c>
      <c r="D11" s="2">
        <v>44034</v>
      </c>
      <c r="E11" s="1" t="s">
        <v>12</v>
      </c>
      <c r="F11" s="1" t="s">
        <v>62</v>
      </c>
      <c r="G11" s="1" t="str">
        <f>IF(H11="","",IFERROR(INDEX(tblOrgs[Client Name],MATCH(H11,tblOrgs[Client ABN],0)),""))</f>
        <v>Crown Scaffold Pty Ltd</v>
      </c>
      <c r="H11" s="1">
        <v>60632106139</v>
      </c>
    </row>
    <row r="12" spans="1:8" x14ac:dyDescent="0.25">
      <c r="A12" s="1" t="s">
        <v>22</v>
      </c>
      <c r="B12" s="1" t="s">
        <v>11</v>
      </c>
      <c r="C12" s="2">
        <v>44034</v>
      </c>
      <c r="D12" s="2">
        <v>44034</v>
      </c>
      <c r="E12" s="1" t="s">
        <v>12</v>
      </c>
      <c r="F12" s="1" t="s">
        <v>13</v>
      </c>
      <c r="G12" s="1" t="str">
        <f>IF(H12="","",IFERROR(INDEX(tblOrgs[Client Name],MATCH(H12,tblOrgs[Client ABN],0)),""))</f>
        <v>Crown Scaffold Pty Ltd</v>
      </c>
      <c r="H12" s="1">
        <v>60632106139</v>
      </c>
    </row>
    <row r="13" spans="1:8" x14ac:dyDescent="0.25">
      <c r="A13" s="1" t="s">
        <v>15</v>
      </c>
      <c r="B13" s="1" t="s">
        <v>11</v>
      </c>
      <c r="C13" s="2">
        <v>44034</v>
      </c>
      <c r="D13" s="2">
        <v>44034</v>
      </c>
      <c r="E13" s="1" t="s">
        <v>12</v>
      </c>
      <c r="F13" s="1" t="s">
        <v>13</v>
      </c>
      <c r="G13" s="1" t="str">
        <f>IF(H13="","",IFERROR(INDEX(tblOrgs[Client Name],MATCH(H13,tblOrgs[Client ABN],0)),""))</f>
        <v>Ash (Vic) Pty Ltd</v>
      </c>
      <c r="H13" s="1">
        <v>29115372613</v>
      </c>
    </row>
    <row r="14" spans="1:8" x14ac:dyDescent="0.25">
      <c r="A14" s="1" t="s">
        <v>52</v>
      </c>
      <c r="B14" s="1" t="s">
        <v>11</v>
      </c>
      <c r="C14" s="2">
        <v>44036</v>
      </c>
      <c r="D14" s="2">
        <v>44036</v>
      </c>
      <c r="E14" s="1" t="s">
        <v>12</v>
      </c>
      <c r="F14" s="1" t="s">
        <v>13</v>
      </c>
      <c r="G14" s="1" t="str">
        <f>IF(H14="","",IFERROR(INDEX(tblOrgs[Client Name],MATCH(H14,tblOrgs[Client ABN],0)),""))</f>
        <v>Shearform Pty Ltd</v>
      </c>
      <c r="H14" s="1">
        <v>82099070872</v>
      </c>
    </row>
    <row r="15" spans="1:8" x14ac:dyDescent="0.25">
      <c r="A15" s="1" t="s">
        <v>24</v>
      </c>
      <c r="B15" s="1" t="s">
        <v>11</v>
      </c>
      <c r="C15" s="2">
        <v>44042</v>
      </c>
      <c r="D15" s="2">
        <v>44042</v>
      </c>
      <c r="E15" s="1" t="s">
        <v>12</v>
      </c>
      <c r="F15" s="1" t="s">
        <v>13</v>
      </c>
      <c r="G15" s="1" t="str">
        <f>IF(H15="","",IFERROR(INDEX(tblOrgs[Client Name],MATCH(H15,tblOrgs[Client ABN],0)),""))</f>
        <v>David Harris Earthmoving Pty Ltd</v>
      </c>
      <c r="H15" s="1">
        <v>45387405936</v>
      </c>
    </row>
    <row r="16" spans="1:8" x14ac:dyDescent="0.25">
      <c r="A16" s="1" t="s">
        <v>55</v>
      </c>
      <c r="B16" s="1" t="s">
        <v>11</v>
      </c>
      <c r="C16" s="2">
        <v>44057</v>
      </c>
      <c r="D16" s="2">
        <v>44057</v>
      </c>
      <c r="E16" s="1" t="s">
        <v>12</v>
      </c>
      <c r="F16" s="1" t="s">
        <v>13</v>
      </c>
      <c r="G16" s="1" t="str">
        <f>IF(H16="","",IFERROR(INDEX(tblOrgs[Client Name],MATCH(H16,tblOrgs[Client ABN],0)),""))</f>
        <v>SRS Drilling Pty Ltd</v>
      </c>
      <c r="H16" s="1">
        <v>84161973413</v>
      </c>
    </row>
    <row r="17" spans="1:8" x14ac:dyDescent="0.25">
      <c r="A17" s="1" t="s">
        <v>26</v>
      </c>
      <c r="B17" s="1" t="s">
        <v>11</v>
      </c>
      <c r="C17" s="2">
        <v>44057</v>
      </c>
      <c r="D17" s="2">
        <v>44057</v>
      </c>
      <c r="E17" s="1" t="s">
        <v>12</v>
      </c>
      <c r="F17" s="1" t="s">
        <v>13</v>
      </c>
      <c r="G17" s="1" t="str">
        <f>IF(H17="","",IFERROR(INDEX(tblOrgs[Client Name],MATCH(H17,tblOrgs[Client ABN],0)),""))</f>
        <v>Earthtek Excavations Pty Ltd</v>
      </c>
      <c r="H17" s="1">
        <v>54090536575</v>
      </c>
    </row>
    <row r="18" spans="1:8" x14ac:dyDescent="0.25">
      <c r="A18" s="1" t="s">
        <v>64</v>
      </c>
      <c r="B18" s="1" t="s">
        <v>11</v>
      </c>
      <c r="C18" s="2">
        <v>44057</v>
      </c>
      <c r="D18" s="2">
        <v>44057</v>
      </c>
      <c r="E18" s="1" t="s">
        <v>12</v>
      </c>
      <c r="F18" s="1" t="s">
        <v>62</v>
      </c>
      <c r="G18" s="1" t="str">
        <f>IF(H18="","",IFERROR(INDEX(tblOrgs[Client Name],MATCH(H18,tblOrgs[Client ABN],0)),""))</f>
        <v>Earthtek Excavations Pty Ltd</v>
      </c>
      <c r="H18" s="1">
        <v>54090536575</v>
      </c>
    </row>
    <row r="19" spans="1:8" x14ac:dyDescent="0.25">
      <c r="A19" s="1" t="s">
        <v>21</v>
      </c>
      <c r="B19" s="1" t="s">
        <v>11</v>
      </c>
      <c r="C19" s="2">
        <v>44069</v>
      </c>
      <c r="D19" s="2">
        <v>44069</v>
      </c>
      <c r="E19" s="1" t="s">
        <v>12</v>
      </c>
      <c r="F19" s="1" t="s">
        <v>13</v>
      </c>
      <c r="G19" s="1" t="str">
        <f>IF(H19="","",IFERROR(INDEX(tblOrgs[Client Name],MATCH(H19,tblOrgs[Client ABN],0)),""))</f>
        <v>Commercial Construction Specialists Pty Ltd</v>
      </c>
      <c r="H19" s="1">
        <v>96145874344</v>
      </c>
    </row>
    <row r="20" spans="1:8" x14ac:dyDescent="0.25">
      <c r="A20" s="1" t="s">
        <v>53</v>
      </c>
      <c r="B20" s="1" t="s">
        <v>11</v>
      </c>
      <c r="C20" s="2">
        <v>44074</v>
      </c>
      <c r="D20" s="2">
        <v>44074</v>
      </c>
      <c r="E20" s="1" t="s">
        <v>12</v>
      </c>
      <c r="F20" s="1" t="s">
        <v>13</v>
      </c>
      <c r="G20" s="1" t="str">
        <f>IF(H20="","",IFERROR(INDEX(tblOrgs[Client Name],MATCH(H20,tblOrgs[Client ABN],0)),""))</f>
        <v>Sixense Oceania Pty Ltd</v>
      </c>
      <c r="H20" s="1">
        <v>37163754845</v>
      </c>
    </row>
    <row r="21" spans="1:8" x14ac:dyDescent="0.25">
      <c r="A21" s="1" t="s">
        <v>23</v>
      </c>
      <c r="B21" s="1" t="s">
        <v>11</v>
      </c>
      <c r="C21" s="2">
        <v>44081</v>
      </c>
      <c r="D21" s="2">
        <v>44081</v>
      </c>
      <c r="E21" s="1" t="s">
        <v>12</v>
      </c>
      <c r="F21" s="1" t="s">
        <v>13</v>
      </c>
      <c r="G21" s="1" t="str">
        <f>IF(H21="","",IFERROR(INDEX(tblOrgs[Client Name],MATCH(H21,tblOrgs[Client ABN],0)),""))</f>
        <v>CSA Specialised Services Pty Ltd</v>
      </c>
      <c r="H21" s="1">
        <v>11757908807</v>
      </c>
    </row>
    <row r="22" spans="1:8" x14ac:dyDescent="0.25">
      <c r="A22" s="1" t="s">
        <v>20</v>
      </c>
      <c r="B22" s="1" t="s">
        <v>11</v>
      </c>
      <c r="C22" s="2">
        <v>44081</v>
      </c>
      <c r="D22" s="2">
        <v>44081</v>
      </c>
      <c r="E22" s="1" t="s">
        <v>12</v>
      </c>
      <c r="F22" s="1" t="s">
        <v>13</v>
      </c>
      <c r="G22" s="1" t="str">
        <f>IF(H22="","",IFERROR(INDEX(tblOrgs[Client Name],MATCH(H22,tblOrgs[Client ABN],0)),""))</f>
        <v>Coates Hire Operations Pty Limited</v>
      </c>
      <c r="H22" s="1">
        <v>99074126971</v>
      </c>
    </row>
    <row r="23" spans="1:8" x14ac:dyDescent="0.25">
      <c r="A23" s="1" t="s">
        <v>58</v>
      </c>
      <c r="B23" s="1" t="s">
        <v>11</v>
      </c>
      <c r="C23" s="2">
        <v>44089</v>
      </c>
      <c r="D23" s="2">
        <v>44089</v>
      </c>
      <c r="E23" s="1" t="s">
        <v>12</v>
      </c>
      <c r="F23" s="1" t="s">
        <v>13</v>
      </c>
      <c r="G23" s="1" t="str">
        <f>IF(H23="","",IFERROR(INDEX(tblOrgs[Client Name],MATCH(H23,tblOrgs[Client ABN],0)),""))</f>
        <v>Victorian Crane Hire Pty Ltd</v>
      </c>
      <c r="H23" s="1">
        <v>15619105092</v>
      </c>
    </row>
    <row r="24" spans="1:8" x14ac:dyDescent="0.25">
      <c r="A24" s="1" t="s">
        <v>31</v>
      </c>
      <c r="B24" s="1" t="s">
        <v>11</v>
      </c>
      <c r="C24" s="2">
        <v>44089</v>
      </c>
      <c r="D24" s="2">
        <v>44089</v>
      </c>
      <c r="E24" s="1" t="s">
        <v>12</v>
      </c>
      <c r="F24" s="1" t="s">
        <v>13</v>
      </c>
      <c r="G24" s="1" t="str">
        <f>IF(H24="","",IFERROR(INDEX(tblOrgs[Client Name],MATCH(H24,tblOrgs[Client ABN],0)),""))</f>
        <v>Fredon (Vic) Electrical Pty Ltd</v>
      </c>
      <c r="H24" s="1">
        <v>99621855025</v>
      </c>
    </row>
    <row r="25" spans="1:8" x14ac:dyDescent="0.25">
      <c r="A25" s="1" t="s">
        <v>54</v>
      </c>
      <c r="B25" s="1" t="s">
        <v>11</v>
      </c>
      <c r="C25" s="2">
        <v>44091</v>
      </c>
      <c r="D25" s="2">
        <v>44091</v>
      </c>
      <c r="E25" s="1" t="s">
        <v>12</v>
      </c>
      <c r="F25" s="1" t="s">
        <v>13</v>
      </c>
      <c r="G25" s="1" t="str">
        <f>IF(H25="","",IFERROR(INDEX(tblOrgs[Client Name],MATCH(H25,tblOrgs[Client ABN],0)),""))</f>
        <v>Speno Rail Maintenance Australia Pty Ltd</v>
      </c>
      <c r="H25" s="1">
        <v>30009206722</v>
      </c>
    </row>
    <row r="26" spans="1:8" x14ac:dyDescent="0.25">
      <c r="A26" s="1" t="s">
        <v>25</v>
      </c>
      <c r="B26" s="1" t="s">
        <v>11</v>
      </c>
      <c r="C26" s="2">
        <v>44095</v>
      </c>
      <c r="D26" s="2">
        <v>44095</v>
      </c>
      <c r="E26" s="1" t="s">
        <v>12</v>
      </c>
      <c r="F26" s="1" t="s">
        <v>13</v>
      </c>
      <c r="G26" s="1" t="str">
        <f>IF(H26="","",IFERROR(INDEX(tblOrgs[Client Name],MATCH(H26,tblOrgs[Client ABN],0)),""))</f>
        <v>Drilltec Pty Ltd</v>
      </c>
      <c r="H26" s="1">
        <v>74925026670</v>
      </c>
    </row>
    <row r="27" spans="1:8" x14ac:dyDescent="0.25">
      <c r="A27" s="1" t="s">
        <v>61</v>
      </c>
      <c r="B27" s="1" t="s">
        <v>11</v>
      </c>
      <c r="C27" s="2">
        <v>44102</v>
      </c>
      <c r="D27" s="2">
        <v>44102</v>
      </c>
      <c r="E27" s="1" t="s">
        <v>12</v>
      </c>
      <c r="F27" s="1" t="s">
        <v>62</v>
      </c>
      <c r="G27" s="1" t="str">
        <f>IF(H27="","",IFERROR(INDEX(tblOrgs[Client Name],MATCH(H27,tblOrgs[Client ABN],0)),""))</f>
        <v>Commercial Construction Specialists Pty Ltd</v>
      </c>
      <c r="H27" s="1">
        <v>96145874344</v>
      </c>
    </row>
    <row r="28" spans="1:8" x14ac:dyDescent="0.25">
      <c r="A28" s="1" t="s">
        <v>38</v>
      </c>
      <c r="B28" s="1" t="s">
        <v>11</v>
      </c>
      <c r="C28" s="2">
        <v>44110</v>
      </c>
      <c r="D28" s="2">
        <v>44110</v>
      </c>
      <c r="E28" s="1" t="s">
        <v>12</v>
      </c>
      <c r="F28" s="1" t="s">
        <v>13</v>
      </c>
      <c r="G28" s="1" t="str">
        <f>IF(H28="","",IFERROR(INDEX(tblOrgs[Client Name],MATCH(H28,tblOrgs[Client ABN],0)),""))</f>
        <v>Maas Group Holdings</v>
      </c>
      <c r="H28" s="1">
        <v>84632994542</v>
      </c>
    </row>
    <row r="29" spans="1:8" x14ac:dyDescent="0.25">
      <c r="A29" s="1" t="s">
        <v>43</v>
      </c>
      <c r="B29" s="1" t="s">
        <v>11</v>
      </c>
      <c r="C29" s="2">
        <v>44105</v>
      </c>
      <c r="D29" s="2">
        <v>44105</v>
      </c>
      <c r="E29" s="1" t="s">
        <v>12</v>
      </c>
      <c r="F29" s="1" t="s">
        <v>13</v>
      </c>
      <c r="G29" s="1" t="str">
        <f>IF(H29="","",IFERROR(INDEX(tblOrgs[Client Name],MATCH(H29,tblOrgs[Client ABN],0)),""))</f>
        <v>Neilsens Holdings Pty Ltd</v>
      </c>
      <c r="H29" s="1">
        <v>92009940989</v>
      </c>
    </row>
    <row r="30" spans="1:8" x14ac:dyDescent="0.25">
      <c r="A30" s="1" t="s">
        <v>10</v>
      </c>
      <c r="B30" s="1" t="s">
        <v>11</v>
      </c>
      <c r="C30" s="2">
        <v>44106</v>
      </c>
      <c r="D30" s="2">
        <v>44106</v>
      </c>
      <c r="E30" s="1" t="s">
        <v>12</v>
      </c>
      <c r="F30" s="1" t="s">
        <v>13</v>
      </c>
      <c r="G30" s="1" t="str">
        <f>IF(H30="","",IFERROR(INDEX(tblOrgs[Client Name],MATCH(H30,tblOrgs[Client ABN],0)),""))</f>
        <v>A C Whalan &amp; Co Pty Ltd</v>
      </c>
      <c r="H30" s="1">
        <v>90003499849</v>
      </c>
    </row>
    <row r="31" spans="1:8" x14ac:dyDescent="0.25">
      <c r="A31" s="1" t="s">
        <v>16</v>
      </c>
      <c r="B31" s="1" t="s">
        <v>11</v>
      </c>
      <c r="C31" s="2">
        <v>44119</v>
      </c>
      <c r="D31" s="2">
        <v>44119</v>
      </c>
      <c r="E31" s="1" t="s">
        <v>12</v>
      </c>
      <c r="F31" s="1" t="s">
        <v>13</v>
      </c>
      <c r="G31" s="1" t="str">
        <f>IF(H31="","",IFERROR(INDEX(tblOrgs[Client Name],MATCH(H31,tblOrgs[Client ABN],0)),""))</f>
        <v>ATCO Structures and Logistics Pty Ltd</v>
      </c>
      <c r="H31" s="1">
        <v>71083902309</v>
      </c>
    </row>
    <row r="32" spans="1:8" x14ac:dyDescent="0.25">
      <c r="A32" s="1" t="s">
        <v>57</v>
      </c>
      <c r="B32" s="1" t="s">
        <v>11</v>
      </c>
      <c r="C32" s="2">
        <v>44119</v>
      </c>
      <c r="D32" s="2">
        <v>44119</v>
      </c>
      <c r="E32" s="1" t="s">
        <v>12</v>
      </c>
      <c r="F32" s="1" t="s">
        <v>13</v>
      </c>
      <c r="G32" s="1" t="str">
        <f>IF(H32="","",IFERROR(INDEX(tblOrgs[Client Name],MATCH(H32,tblOrgs[Client ABN],0)),""))</f>
        <v>Symal Group Pty Ltd</v>
      </c>
      <c r="H32" s="1">
        <v>72615255466</v>
      </c>
    </row>
    <row r="33" spans="1:8" x14ac:dyDescent="0.25">
      <c r="A33" s="1" t="s">
        <v>46</v>
      </c>
      <c r="B33" s="1" t="s">
        <v>11</v>
      </c>
      <c r="C33" s="2">
        <v>44118</v>
      </c>
      <c r="D33" s="2">
        <v>44118</v>
      </c>
      <c r="E33" s="1" t="s">
        <v>12</v>
      </c>
      <c r="F33" s="1" t="s">
        <v>13</v>
      </c>
      <c r="G33" s="1" t="str">
        <f>IF(H33="","",IFERROR(INDEX(tblOrgs[Client Name],MATCH(H33,tblOrgs[Client ABN],0)),""))</f>
        <v>Precision Pipe Networks Pty Ltd</v>
      </c>
      <c r="H33" s="1">
        <v>79610774199</v>
      </c>
    </row>
    <row r="34" spans="1:8" x14ac:dyDescent="0.25">
      <c r="A34" s="1" t="s">
        <v>36</v>
      </c>
      <c r="B34" s="1" t="s">
        <v>11</v>
      </c>
      <c r="C34" s="2">
        <v>44119</v>
      </c>
      <c r="D34" s="2">
        <v>44119</v>
      </c>
      <c r="E34" s="1" t="s">
        <v>12</v>
      </c>
      <c r="F34" s="1" t="s">
        <v>13</v>
      </c>
      <c r="G34" s="1" t="str">
        <f>IF(H34="","",IFERROR(INDEX(tblOrgs[Client Name],MATCH(H34,tblOrgs[Client ABN],0)),""))</f>
        <v>LCR Group Pty Ltd</v>
      </c>
      <c r="H34" s="1">
        <v>78095626798</v>
      </c>
    </row>
    <row r="35" spans="1:8" x14ac:dyDescent="0.25">
      <c r="A35" s="1" t="s">
        <v>47</v>
      </c>
      <c r="B35" s="1" t="s">
        <v>11</v>
      </c>
      <c r="C35" s="2">
        <v>44124</v>
      </c>
      <c r="D35" s="2">
        <v>44124</v>
      </c>
      <c r="E35" s="1" t="s">
        <v>12</v>
      </c>
      <c r="F35" s="1" t="s">
        <v>13</v>
      </c>
      <c r="G35" s="1" t="str">
        <f>IF(H35="","",IFERROR(INDEX(tblOrgs[Client Name],MATCH(H35,tblOrgs[Client ABN],0)),""))</f>
        <v>Queensland Pre-Stressing Pty Ltd</v>
      </c>
      <c r="H35" s="1">
        <v>95063541873</v>
      </c>
    </row>
    <row r="36" spans="1:8" x14ac:dyDescent="0.25">
      <c r="A36" s="1" t="s">
        <v>35</v>
      </c>
      <c r="B36" s="1" t="s">
        <v>11</v>
      </c>
      <c r="C36" s="2">
        <v>44126</v>
      </c>
      <c r="D36" s="2">
        <v>44126</v>
      </c>
      <c r="E36" s="1" t="s">
        <v>12</v>
      </c>
      <c r="F36" s="1" t="s">
        <v>13</v>
      </c>
      <c r="G36" s="1" t="str">
        <f>IF(H36="","",IFERROR(INDEX(tblOrgs[Client Name],MATCH(H36,tblOrgs[Client ABN],0)),""))</f>
        <v>Kenny Constructions (Aust.) Pty. Limited</v>
      </c>
      <c r="H36" s="1">
        <v>74096169416</v>
      </c>
    </row>
    <row r="37" spans="1:8" x14ac:dyDescent="0.25">
      <c r="A37" s="1" t="s">
        <v>34</v>
      </c>
      <c r="B37" s="1" t="s">
        <v>11</v>
      </c>
      <c r="C37" s="2">
        <v>44131</v>
      </c>
      <c r="D37" s="2">
        <v>44131</v>
      </c>
      <c r="E37" s="1" t="s">
        <v>12</v>
      </c>
      <c r="F37" s="1" t="s">
        <v>13</v>
      </c>
      <c r="G37" s="1" t="str">
        <f>IF(H37="","",IFERROR(INDEX(tblOrgs[Client Name],MATCH(H37,tblOrgs[Client ABN],0)),""))</f>
        <v>Idec Solutions Pty Ltd</v>
      </c>
      <c r="H37" s="1">
        <v>15082559920</v>
      </c>
    </row>
    <row r="38" spans="1:8" x14ac:dyDescent="0.25">
      <c r="A38" s="1" t="s">
        <v>44</v>
      </c>
      <c r="B38" s="1" t="s">
        <v>11</v>
      </c>
      <c r="C38" s="2">
        <v>44131</v>
      </c>
      <c r="D38" s="2">
        <v>44131</v>
      </c>
      <c r="E38" s="1" t="s">
        <v>12</v>
      </c>
      <c r="F38" s="1" t="s">
        <v>13</v>
      </c>
      <c r="G38" s="1" t="str">
        <f>IF(H38="","",IFERROR(INDEX(tblOrgs[Client Name],MATCH(H38,tblOrgs[Client ABN],0)),""))</f>
        <v>Online Fire &amp; Security Pty Ltd</v>
      </c>
      <c r="H38" s="1">
        <v>70147790261</v>
      </c>
    </row>
    <row r="39" spans="1:8" x14ac:dyDescent="0.25">
      <c r="A39" s="1" t="s">
        <v>39</v>
      </c>
      <c r="B39" s="1" t="s">
        <v>11</v>
      </c>
      <c r="C39" s="2">
        <v>43832</v>
      </c>
      <c r="D39" s="2">
        <v>43832</v>
      </c>
      <c r="E39" s="1" t="s">
        <v>12</v>
      </c>
      <c r="F39" s="1" t="s">
        <v>13</v>
      </c>
      <c r="G39" s="1" t="str">
        <f>IF(H39="","",IFERROR(INDEX(tblOrgs[Client Name],MATCH(H39,tblOrgs[Client ABN],0)),""))</f>
        <v>Marine Industries Victoria Pty Ltd</v>
      </c>
      <c r="H39" s="1">
        <v>74629274540</v>
      </c>
    </row>
    <row r="40" spans="1:8" x14ac:dyDescent="0.25">
      <c r="A40" s="1" t="s">
        <v>42</v>
      </c>
      <c r="B40" s="1" t="s">
        <v>11</v>
      </c>
      <c r="C40" s="2">
        <v>44137</v>
      </c>
      <c r="D40" s="2">
        <v>44137</v>
      </c>
      <c r="E40" s="1" t="s">
        <v>12</v>
      </c>
      <c r="F40" s="1" t="s">
        <v>13</v>
      </c>
      <c r="G40" s="1" t="str">
        <f>IF(H40="","",IFERROR(INDEX(tblOrgs[Client Name],MATCH(H40,tblOrgs[Client ABN],0)),""))</f>
        <v>Modcast Pty Ltd</v>
      </c>
      <c r="H40" s="1">
        <v>30626198847</v>
      </c>
    </row>
    <row r="41" spans="1:8" x14ac:dyDescent="0.25">
      <c r="A41" s="1" t="s">
        <v>40</v>
      </c>
      <c r="B41" s="1" t="s">
        <v>11</v>
      </c>
      <c r="C41" s="2">
        <v>44134</v>
      </c>
      <c r="D41" s="2">
        <v>44134</v>
      </c>
      <c r="E41" s="1" t="s">
        <v>12</v>
      </c>
      <c r="F41" s="1" t="s">
        <v>13</v>
      </c>
      <c r="G41" s="1" t="str">
        <f>IF(H41="","",IFERROR(INDEX(tblOrgs[Client Name],MATCH(H41,tblOrgs[Client ABN],0)),""))</f>
        <v>Mataniel Laurate Pty Ltd</v>
      </c>
      <c r="H41" s="1">
        <v>37094906028</v>
      </c>
    </row>
    <row r="42" spans="1:8" x14ac:dyDescent="0.25">
      <c r="A42" s="1" t="s">
        <v>48</v>
      </c>
      <c r="B42" s="1" t="s">
        <v>11</v>
      </c>
      <c r="C42" s="2">
        <v>44137</v>
      </c>
      <c r="D42" s="2">
        <v>44137</v>
      </c>
      <c r="E42" s="1" t="s">
        <v>12</v>
      </c>
      <c r="F42" s="1" t="s">
        <v>13</v>
      </c>
      <c r="G42" s="1" t="str">
        <f>IF(H42="","",IFERROR(INDEX(tblOrgs[Client Name],MATCH(H42,tblOrgs[Client ABN],0)),""))</f>
        <v>Reinforced Earth Pty Ltd</v>
      </c>
      <c r="H42" s="1">
        <v>53001215327</v>
      </c>
    </row>
    <row r="43" spans="1:8" x14ac:dyDescent="0.25">
      <c r="A43" s="1" t="s">
        <v>56</v>
      </c>
      <c r="B43" s="1" t="s">
        <v>11</v>
      </c>
      <c r="C43" s="2">
        <v>44137</v>
      </c>
      <c r="D43" s="2">
        <v>44137</v>
      </c>
      <c r="E43" s="1" t="s">
        <v>12</v>
      </c>
      <c r="F43" s="1" t="s">
        <v>13</v>
      </c>
      <c r="G43" s="1" t="str">
        <f>IF(H43="","",IFERROR(INDEX(tblOrgs[Client Name],MATCH(H43,tblOrgs[Client ABN],0)),""))</f>
        <v>Stephens Plant Hire Pty Ltd</v>
      </c>
      <c r="H43" s="1">
        <v>41612483011</v>
      </c>
    </row>
    <row r="44" spans="1:8" x14ac:dyDescent="0.25">
      <c r="A44" s="1" t="s">
        <v>18</v>
      </c>
      <c r="B44" s="1" t="s">
        <v>11</v>
      </c>
      <c r="C44" s="2">
        <v>44140</v>
      </c>
      <c r="D44" s="2">
        <v>44140</v>
      </c>
      <c r="E44" s="1" t="s">
        <v>12</v>
      </c>
      <c r="F44" s="1" t="s">
        <v>13</v>
      </c>
      <c r="G44" s="1" t="str">
        <f>IF(H44="","",IFERROR(INDEX(tblOrgs[Client Name],MATCH(H44,tblOrgs[Client ABN],0)),""))</f>
        <v>Boral Resources (QLD) Pty Limited</v>
      </c>
      <c r="H44" s="1">
        <v>46009671809</v>
      </c>
    </row>
    <row r="45" spans="1:8" x14ac:dyDescent="0.25">
      <c r="A45" s="1" t="s">
        <v>30</v>
      </c>
      <c r="B45" s="1" t="s">
        <v>11</v>
      </c>
      <c r="C45" s="2">
        <v>44138</v>
      </c>
      <c r="D45" s="2">
        <v>44138</v>
      </c>
      <c r="E45" s="1" t="s">
        <v>12</v>
      </c>
      <c r="F45" s="1" t="s">
        <v>13</v>
      </c>
      <c r="G45" s="1" t="str">
        <f>IF(H45="","",IFERROR(INDEX(tblOrgs[Client Name],MATCH(H45,tblOrgs[Client ABN],0)),""))</f>
        <v>Evolution Group Holdings Pty Ltd</v>
      </c>
      <c r="H45" s="1">
        <v>14147834133</v>
      </c>
    </row>
    <row r="46" spans="1:8" x14ac:dyDescent="0.25">
      <c r="A46" s="1" t="s">
        <v>29</v>
      </c>
      <c r="B46" s="1" t="s">
        <v>11</v>
      </c>
      <c r="C46" s="2">
        <v>44146</v>
      </c>
      <c r="D46" s="2">
        <v>44146</v>
      </c>
      <c r="E46" s="1" t="s">
        <v>12</v>
      </c>
      <c r="F46" s="1" t="s">
        <v>13</v>
      </c>
      <c r="G46" s="1" t="str">
        <f>IF(H46="","",IFERROR(INDEX(tblOrgs[Client Name],MATCH(H46,tblOrgs[Client ABN],0)),""))</f>
        <v>Environmental Vegetation Management Australia Pty Ltd</v>
      </c>
      <c r="H46" s="1">
        <v>57241050567</v>
      </c>
    </row>
    <row r="47" spans="1:8" x14ac:dyDescent="0.25">
      <c r="A47" s="1" t="s">
        <v>49</v>
      </c>
      <c r="B47" s="1" t="s">
        <v>11</v>
      </c>
      <c r="C47" s="2">
        <v>44166</v>
      </c>
      <c r="D47" s="2">
        <v>44166</v>
      </c>
      <c r="E47" s="1" t="s">
        <v>12</v>
      </c>
      <c r="F47" s="1" t="s">
        <v>13</v>
      </c>
      <c r="G47" s="1" t="str">
        <f>IF(H47="","",IFERROR(INDEX(tblOrgs[Client Name],MATCH(H47,tblOrgs[Client ABN],0)),""))</f>
        <v>Retaining Solutions Design Construct Pty Limited</v>
      </c>
      <c r="H47" s="1">
        <v>16103223721</v>
      </c>
    </row>
    <row r="48" spans="1:8" x14ac:dyDescent="0.25">
      <c r="A48" s="1" t="s">
        <v>60</v>
      </c>
      <c r="B48" s="1" t="s">
        <v>11</v>
      </c>
      <c r="C48" s="2">
        <v>44159</v>
      </c>
      <c r="D48" s="2">
        <v>44159</v>
      </c>
      <c r="E48" s="1" t="s">
        <v>12</v>
      </c>
      <c r="F48" s="1" t="s">
        <v>13</v>
      </c>
      <c r="G48" s="1" t="str">
        <f>IF(H48="","",IFERROR(INDEX(tblOrgs[Client Name],MATCH(H48,tblOrgs[Client ABN],0)),""))</f>
        <v>X-Cel Construction Services Pty Ltd</v>
      </c>
      <c r="H48" s="1">
        <v>82168493105</v>
      </c>
    </row>
    <row r="49" spans="1:8" x14ac:dyDescent="0.25">
      <c r="A49" s="1" t="s">
        <v>14</v>
      </c>
      <c r="B49" s="1" t="s">
        <v>11</v>
      </c>
      <c r="C49" s="2">
        <v>44160</v>
      </c>
      <c r="D49" s="2">
        <v>44160</v>
      </c>
      <c r="E49" s="1" t="s">
        <v>12</v>
      </c>
      <c r="F49" s="1" t="s">
        <v>13</v>
      </c>
      <c r="G49" s="1" t="str">
        <f>IF(H49="","",IFERROR(INDEX(tblOrgs[Client Name],MATCH(H49,tblOrgs[Client ABN],0)),""))</f>
        <v>As you like it Landscaping Pty Ltd</v>
      </c>
      <c r="H49" s="1">
        <v>51064081956</v>
      </c>
    </row>
    <row r="50" spans="1:8" x14ac:dyDescent="0.25">
      <c r="A50" s="1" t="s">
        <v>17</v>
      </c>
      <c r="B50" s="1" t="s">
        <v>11</v>
      </c>
      <c r="C50" s="2">
        <v>44181</v>
      </c>
      <c r="D50" s="2">
        <v>44181</v>
      </c>
      <c r="E50" s="1" t="s">
        <v>12</v>
      </c>
      <c r="F50" s="1" t="s">
        <v>13</v>
      </c>
      <c r="G50" s="1" t="str">
        <f>IF(H50="","",IFERROR(INDEX(tblOrgs[Client Name],MATCH(H50,tblOrgs[Client ABN],0)),""))</f>
        <v>BLASK Pty Ltd</v>
      </c>
      <c r="H50" s="1">
        <v>41813267182</v>
      </c>
    </row>
    <row r="51" spans="1:8" x14ac:dyDescent="0.25">
      <c r="A51" s="1" t="s">
        <v>41</v>
      </c>
      <c r="B51" s="1" t="s">
        <v>11</v>
      </c>
      <c r="C51" s="2">
        <v>44180</v>
      </c>
      <c r="D51" s="2">
        <v>44180</v>
      </c>
      <c r="E51" s="1" t="s">
        <v>12</v>
      </c>
      <c r="F51" s="1" t="s">
        <v>13</v>
      </c>
      <c r="G51" s="1" t="str">
        <f>IF(H51="","",IFERROR(INDEX(tblOrgs[Client Name],MATCH(H51,tblOrgs[Client ABN],0)),""))</f>
        <v>McMahon Services Australia Pty Ltd</v>
      </c>
      <c r="H51" s="1">
        <v>75097072565</v>
      </c>
    </row>
    <row r="52" spans="1:8" x14ac:dyDescent="0.25">
      <c r="A52" s="1" t="s">
        <v>28</v>
      </c>
      <c r="B52" s="1" t="s">
        <v>11</v>
      </c>
      <c r="C52" s="2">
        <v>44188</v>
      </c>
      <c r="D52" s="2">
        <v>44188</v>
      </c>
      <c r="E52" s="1" t="s">
        <v>12</v>
      </c>
      <c r="F52" s="1" t="s">
        <v>13</v>
      </c>
      <c r="G52" s="1" t="str">
        <f>IF(H52="","",IFERROR(INDEX(tblOrgs[Client Name],MATCH(H52,tblOrgs[Client ABN],0)),""))</f>
        <v>Eire Midland Constructions Pty Ltd</v>
      </c>
      <c r="H52" s="1">
        <v>45079929687</v>
      </c>
    </row>
    <row r="53" spans="1:8" x14ac:dyDescent="0.25">
      <c r="A53" s="1" t="s">
        <v>123</v>
      </c>
      <c r="B53" s="1" t="s">
        <v>11</v>
      </c>
      <c r="C53" s="2">
        <v>44203</v>
      </c>
      <c r="D53" s="2">
        <v>44203</v>
      </c>
      <c r="E53" s="1" t="s">
        <v>12</v>
      </c>
      <c r="F53" s="1" t="s">
        <v>13</v>
      </c>
      <c r="G53" s="1" t="str">
        <f>IF(H53="","",IFERROR(INDEX(tblOrgs[Client Name],MATCH(H53,tblOrgs[Client ABN],0)),""))</f>
        <v>Precast Concrete Solutions Pty Ltd</v>
      </c>
      <c r="H53" s="1">
        <v>90096370357</v>
      </c>
    </row>
    <row r="54" spans="1:8" x14ac:dyDescent="0.25">
      <c r="A54" s="1" t="s">
        <v>69</v>
      </c>
      <c r="B54" s="1" t="s">
        <v>11</v>
      </c>
      <c r="C54" s="2">
        <v>44207</v>
      </c>
      <c r="D54" s="2">
        <v>44207</v>
      </c>
      <c r="E54" s="1" t="s">
        <v>12</v>
      </c>
      <c r="F54" s="1" t="s">
        <v>13</v>
      </c>
      <c r="G54" s="1" t="str">
        <f>IF(H54="","",IFERROR(INDEX(tblOrgs[Client Name],MATCH(H54,tblOrgs[Client ABN],0)),""))</f>
        <v>Advanced Weather Proofing Pty Ltd</v>
      </c>
      <c r="H54" s="1">
        <v>44113903772</v>
      </c>
    </row>
    <row r="55" spans="1:8" x14ac:dyDescent="0.25">
      <c r="A55" s="1" t="s">
        <v>147</v>
      </c>
      <c r="B55" s="1" t="s">
        <v>11</v>
      </c>
      <c r="C55" s="2">
        <v>44208</v>
      </c>
      <c r="D55" s="2">
        <v>44208</v>
      </c>
      <c r="E55" s="1" t="s">
        <v>12</v>
      </c>
      <c r="F55" s="1" t="s">
        <v>13</v>
      </c>
      <c r="G55" s="1" t="str">
        <f>IF(H55="","",IFERROR(INDEX(tblOrgs[Client Name],MATCH(H55,tblOrgs[Client ABN],0)),""))</f>
        <v>Wessel Drilling Pty Ltd</v>
      </c>
      <c r="H55" s="1">
        <v>88604544023</v>
      </c>
    </row>
    <row r="56" spans="1:8" x14ac:dyDescent="0.25">
      <c r="A56" s="1" t="s">
        <v>119</v>
      </c>
      <c r="B56" s="1" t="s">
        <v>11</v>
      </c>
      <c r="C56" s="2">
        <v>44215</v>
      </c>
      <c r="D56" s="2">
        <v>44215</v>
      </c>
      <c r="E56" s="1" t="s">
        <v>12</v>
      </c>
      <c r="F56" s="1" t="s">
        <v>13</v>
      </c>
      <c r="G56" s="1" t="str">
        <f>IF(H56="","",IFERROR(INDEX(tblOrgs[Client Name],MATCH(H56,tblOrgs[Client ABN],0)),""))</f>
        <v>Moore Construction Services Pty Ltd</v>
      </c>
      <c r="H56" s="1">
        <v>15641290376</v>
      </c>
    </row>
    <row r="57" spans="1:8" x14ac:dyDescent="0.25">
      <c r="A57" s="1" t="s">
        <v>128</v>
      </c>
      <c r="B57" s="1" t="s">
        <v>11</v>
      </c>
      <c r="C57" s="2">
        <v>44220</v>
      </c>
      <c r="D57" s="2">
        <v>44220</v>
      </c>
      <c r="E57" s="1" t="s">
        <v>12</v>
      </c>
      <c r="F57" s="1" t="s">
        <v>13</v>
      </c>
      <c r="G57" s="1" t="str">
        <f>IF(H57="","",IFERROR(INDEX(tblOrgs[Client Name],MATCH(H57,tblOrgs[Client ABN],0)),""))</f>
        <v>Rail Control Systems Australia Pty Ltd</v>
      </c>
      <c r="H57" s="1">
        <v>42137934055</v>
      </c>
    </row>
    <row r="58" spans="1:8" x14ac:dyDescent="0.25">
      <c r="A58" s="1" t="s">
        <v>129</v>
      </c>
      <c r="B58" s="1" t="s">
        <v>11</v>
      </c>
      <c r="C58" s="2">
        <v>44220</v>
      </c>
      <c r="D58" s="2">
        <v>44220</v>
      </c>
      <c r="E58" s="1" t="s">
        <v>12</v>
      </c>
      <c r="F58" s="1" t="s">
        <v>13</v>
      </c>
      <c r="G58" s="1" t="str">
        <f>IF(H58="","",IFERROR(INDEX(tblOrgs[Client Name],MATCH(H58,tblOrgs[Client ABN],0)),""))</f>
        <v>Refire Group Pty Ltd</v>
      </c>
      <c r="H58" s="1">
        <v>72633993218</v>
      </c>
    </row>
    <row r="59" spans="1:8" x14ac:dyDescent="0.25">
      <c r="A59" s="1" t="s">
        <v>131</v>
      </c>
      <c r="B59" s="1" t="s">
        <v>11</v>
      </c>
      <c r="C59" s="2">
        <v>44220</v>
      </c>
      <c r="D59" s="2">
        <v>44220</v>
      </c>
      <c r="E59" s="1" t="s">
        <v>12</v>
      </c>
      <c r="F59" s="1" t="s">
        <v>13</v>
      </c>
      <c r="G59" s="1" t="str">
        <f>IF(H59="","",IFERROR(INDEX(tblOrgs[Client Name],MATCH(H59,tblOrgs[Client ABN],0)),""))</f>
        <v>Robar Civil Pty Ltd</v>
      </c>
      <c r="H59" s="1">
        <v>47602908092</v>
      </c>
    </row>
    <row r="60" spans="1:8" x14ac:dyDescent="0.25">
      <c r="A60" s="1" t="s">
        <v>145</v>
      </c>
      <c r="B60" s="1" t="s">
        <v>11</v>
      </c>
      <c r="C60" s="2">
        <v>44224</v>
      </c>
      <c r="D60" s="2">
        <v>44224</v>
      </c>
      <c r="E60" s="1" t="s">
        <v>12</v>
      </c>
      <c r="F60" s="1" t="s">
        <v>13</v>
      </c>
      <c r="G60" s="1" t="str">
        <f>IF(H60="","",IFERROR(INDEX(tblOrgs[Client Name],MATCH(H60,tblOrgs[Client ABN],0)),""))</f>
        <v>W J &amp; M Allendorf</v>
      </c>
      <c r="H60" s="1">
        <v>58159730174</v>
      </c>
    </row>
    <row r="61" spans="1:8" x14ac:dyDescent="0.25">
      <c r="A61" s="1" t="s">
        <v>87</v>
      </c>
      <c r="B61" s="1" t="s">
        <v>11</v>
      </c>
      <c r="C61" s="2">
        <v>44231</v>
      </c>
      <c r="D61" s="2">
        <v>44231</v>
      </c>
      <c r="E61" s="1" t="s">
        <v>12</v>
      </c>
      <c r="F61" s="1" t="s">
        <v>13</v>
      </c>
      <c r="G61" s="1" t="str">
        <f>IF(H61="","",IFERROR(INDEX(tblOrgs[Client Name],MATCH(H61,tblOrgs[Client ABN],0)),""))</f>
        <v>Diverse Solutions Group Pty Ltd</v>
      </c>
      <c r="H61" s="1">
        <v>66104162352</v>
      </c>
    </row>
    <row r="62" spans="1:8" x14ac:dyDescent="0.25">
      <c r="A62" s="1" t="s">
        <v>138</v>
      </c>
      <c r="B62" s="1" t="s">
        <v>11</v>
      </c>
      <c r="C62" s="2">
        <v>44234</v>
      </c>
      <c r="D62" s="2">
        <v>44234</v>
      </c>
      <c r="E62" s="1" t="s">
        <v>12</v>
      </c>
      <c r="F62" s="1" t="s">
        <v>13</v>
      </c>
      <c r="G62" s="1" t="str">
        <f>IF(H62="","",IFERROR(INDEX(tblOrgs[Client Name],MATCH(H62,tblOrgs[Client ABN],0)),""))</f>
        <v>Tallai Project Group Pty Ltd</v>
      </c>
      <c r="H62" s="1">
        <v>59618362584</v>
      </c>
    </row>
    <row r="63" spans="1:8" x14ac:dyDescent="0.25">
      <c r="A63" s="1" t="s">
        <v>81</v>
      </c>
      <c r="B63" s="1" t="s">
        <v>11</v>
      </c>
      <c r="C63" s="2">
        <v>44237</v>
      </c>
      <c r="D63" s="2">
        <v>44237</v>
      </c>
      <c r="E63" s="1" t="s">
        <v>12</v>
      </c>
      <c r="F63" s="1" t="s">
        <v>13</v>
      </c>
      <c r="G63" s="1" t="str">
        <f>IF(H63="","",IFERROR(INDEX(tblOrgs[Client Name],MATCH(H63,tblOrgs[Client ABN],0)),""))</f>
        <v>Chess Engineering Pty Ltd</v>
      </c>
      <c r="H63" s="1">
        <v>37000615056</v>
      </c>
    </row>
    <row r="64" spans="1:8" x14ac:dyDescent="0.25">
      <c r="A64" s="1" t="s">
        <v>98</v>
      </c>
      <c r="B64" s="1" t="s">
        <v>11</v>
      </c>
      <c r="C64" s="2">
        <v>44253</v>
      </c>
      <c r="D64" s="2">
        <v>44253</v>
      </c>
      <c r="E64" s="1" t="s">
        <v>12</v>
      </c>
      <c r="F64" s="1" t="s">
        <v>13</v>
      </c>
      <c r="G64" s="1" t="str">
        <f>IF(H64="","",IFERROR(INDEX(tblOrgs[Client Name],MATCH(H64,tblOrgs[Client ABN],0)),""))</f>
        <v>Fugen Masonry Contractors (Qld) Pty Limited</v>
      </c>
      <c r="H64" s="1">
        <v>75097686130</v>
      </c>
    </row>
    <row r="65" spans="1:8" x14ac:dyDescent="0.25">
      <c r="A65" s="1" t="s">
        <v>80</v>
      </c>
      <c r="B65" s="1" t="s">
        <v>11</v>
      </c>
      <c r="C65" s="2">
        <v>44263</v>
      </c>
      <c r="D65" s="2">
        <v>44263</v>
      </c>
      <c r="E65" s="1" t="s">
        <v>12</v>
      </c>
      <c r="F65" s="1" t="s">
        <v>13</v>
      </c>
      <c r="G65" s="1" t="str">
        <f>IF(H65="","",IFERROR(INDEX(tblOrgs[Client Name],MATCH(H65,tblOrgs[Client ABN],0)),""))</f>
        <v>CDC Investment Group Pty Ltd</v>
      </c>
      <c r="H65" s="1">
        <v>11158707629</v>
      </c>
    </row>
    <row r="66" spans="1:8" x14ac:dyDescent="0.25">
      <c r="A66" s="1" t="s">
        <v>93</v>
      </c>
      <c r="B66" s="1" t="s">
        <v>11</v>
      </c>
      <c r="C66" s="2">
        <v>44272</v>
      </c>
      <c r="D66" s="2">
        <v>44272</v>
      </c>
      <c r="E66" s="1" t="s">
        <v>12</v>
      </c>
      <c r="F66" s="1" t="s">
        <v>13</v>
      </c>
      <c r="G66" s="1" t="str">
        <f>IF(H66="","",IFERROR(INDEX(tblOrgs[Client Name],MATCH(H66,tblOrgs[Client ABN],0)),""))</f>
        <v>EPH Enterprises Pty Ltd</v>
      </c>
      <c r="H66" s="1">
        <v>57109822246</v>
      </c>
    </row>
    <row r="67" spans="1:8" x14ac:dyDescent="0.25">
      <c r="A67" s="1" t="s">
        <v>79</v>
      </c>
      <c r="B67" s="1" t="s">
        <v>11</v>
      </c>
      <c r="C67" s="2">
        <v>44278</v>
      </c>
      <c r="D67" s="2">
        <v>44278</v>
      </c>
      <c r="E67" s="1" t="s">
        <v>12</v>
      </c>
      <c r="F67" s="1" t="s">
        <v>13</v>
      </c>
      <c r="G67" s="1" t="str">
        <f>IF(H67="","",IFERROR(INDEX(tblOrgs[Client Name],MATCH(H67,tblOrgs[Client ABN],0)),""))</f>
        <v>Calbah Industries Pty Ltd</v>
      </c>
      <c r="H67" s="1">
        <v>58050275020</v>
      </c>
    </row>
    <row r="68" spans="1:8" x14ac:dyDescent="0.25">
      <c r="A68" s="1" t="s">
        <v>72</v>
      </c>
      <c r="B68" s="1" t="s">
        <v>11</v>
      </c>
      <c r="C68" s="2">
        <v>44281</v>
      </c>
      <c r="D68" s="2">
        <v>44281</v>
      </c>
      <c r="E68" s="1" t="s">
        <v>12</v>
      </c>
      <c r="F68" s="1" t="s">
        <v>13</v>
      </c>
      <c r="G68" s="1" t="str">
        <f>IF(H68="","",IFERROR(INDEX(tblOrgs[Client Name],MATCH(H68,tblOrgs[Client ABN],0)),""))</f>
        <v>Avopiling Services (NSW) Pty Ltd</v>
      </c>
      <c r="H68" s="1">
        <v>11165683349</v>
      </c>
    </row>
    <row r="69" spans="1:8" x14ac:dyDescent="0.25">
      <c r="A69" s="1" t="s">
        <v>116</v>
      </c>
      <c r="B69" s="1" t="s">
        <v>11</v>
      </c>
      <c r="C69" s="2">
        <v>44287</v>
      </c>
      <c r="D69" s="2">
        <v>44287</v>
      </c>
      <c r="E69" s="1" t="s">
        <v>12</v>
      </c>
      <c r="F69" s="1" t="s">
        <v>13</v>
      </c>
      <c r="G69" s="1" t="str">
        <f>IF(H69="","",IFERROR(INDEX(tblOrgs[Client Name],MATCH(H69,tblOrgs[Client ABN],0)),""))</f>
        <v>Marr Contracting Pty Ltd</v>
      </c>
      <c r="H69" s="1">
        <v>72001231607</v>
      </c>
    </row>
    <row r="70" spans="1:8" x14ac:dyDescent="0.25">
      <c r="A70" s="1" t="s">
        <v>137</v>
      </c>
      <c r="B70" s="1" t="s">
        <v>11</v>
      </c>
      <c r="C70" s="2">
        <v>44301</v>
      </c>
      <c r="D70" s="2">
        <v>44301</v>
      </c>
      <c r="E70" s="1" t="s">
        <v>12</v>
      </c>
      <c r="F70" s="1" t="s">
        <v>13</v>
      </c>
      <c r="G70" s="1" t="str">
        <f>IF(H70="","",IFERROR(INDEX(tblOrgs[Client Name],MATCH(H70,tblOrgs[Client ABN],0)),""))</f>
        <v>T &amp; M Southern Cranes Pty Ltd</v>
      </c>
      <c r="H70" s="1">
        <v>99006697338</v>
      </c>
    </row>
    <row r="71" spans="1:8" x14ac:dyDescent="0.25">
      <c r="A71" s="1" t="s">
        <v>114</v>
      </c>
      <c r="B71" s="1" t="s">
        <v>11</v>
      </c>
      <c r="C71" s="2">
        <v>44302</v>
      </c>
      <c r="D71" s="2">
        <v>44302</v>
      </c>
      <c r="E71" s="1" t="s">
        <v>12</v>
      </c>
      <c r="F71" s="1" t="s">
        <v>13</v>
      </c>
      <c r="G71" s="1" t="str">
        <f>IF(H71="","",IFERROR(INDEX(tblOrgs[Client Name],MATCH(H71,tblOrgs[Client ABN],0)),""))</f>
        <v>Made Contracting Pty Ltd</v>
      </c>
      <c r="H71" s="1">
        <v>98082765697</v>
      </c>
    </row>
    <row r="72" spans="1:8" x14ac:dyDescent="0.25">
      <c r="A72" s="1" t="s">
        <v>108</v>
      </c>
      <c r="B72" s="1" t="s">
        <v>11</v>
      </c>
      <c r="C72" s="2">
        <v>44309</v>
      </c>
      <c r="D72" s="2">
        <v>44309</v>
      </c>
      <c r="E72" s="1" t="s">
        <v>12</v>
      </c>
      <c r="F72" s="1" t="s">
        <v>13</v>
      </c>
      <c r="G72" s="1" t="str">
        <f>IF(H72="","",IFERROR(INDEX(tblOrgs[Client Name],MATCH(H72,tblOrgs[Client ABN],0)),""))</f>
        <v>KCJ Rail Pty Ltd</v>
      </c>
      <c r="H72" s="1">
        <v>33624597048</v>
      </c>
    </row>
    <row r="73" spans="1:8" x14ac:dyDescent="0.25">
      <c r="A73" s="1" t="s">
        <v>90</v>
      </c>
      <c r="B73" s="1" t="s">
        <v>11</v>
      </c>
      <c r="C73" s="2">
        <v>44309</v>
      </c>
      <c r="D73" s="2">
        <v>44309</v>
      </c>
      <c r="E73" s="1" t="s">
        <v>12</v>
      </c>
      <c r="F73" s="1" t="s">
        <v>13</v>
      </c>
      <c r="G73" s="1" t="str">
        <f>IF(H73="","",IFERROR(INDEX(tblOrgs[Client Name],MATCH(H73,tblOrgs[Client ABN],0)),""))</f>
        <v>Egans Plant Hire Pty Ltd</v>
      </c>
      <c r="H73" s="1">
        <v>50077737396</v>
      </c>
    </row>
    <row r="74" spans="1:8" x14ac:dyDescent="0.25">
      <c r="A74" s="1" t="s">
        <v>92</v>
      </c>
      <c r="B74" s="1" t="s">
        <v>11</v>
      </c>
      <c r="C74" s="2">
        <v>44309</v>
      </c>
      <c r="D74" s="2">
        <v>44309</v>
      </c>
      <c r="E74" s="1" t="s">
        <v>12</v>
      </c>
      <c r="F74" s="1" t="s">
        <v>13</v>
      </c>
      <c r="G74" s="1" t="str">
        <f>IF(H74="","",IFERROR(INDEX(tblOrgs[Client Name],MATCH(H74,tblOrgs[Client ABN],0)),""))</f>
        <v>ENCO Precast Pty Ltd</v>
      </c>
      <c r="H74" s="1">
        <v>56072772037</v>
      </c>
    </row>
    <row r="75" spans="1:8" x14ac:dyDescent="0.25">
      <c r="A75" s="1" t="s">
        <v>85</v>
      </c>
      <c r="B75" s="1" t="s">
        <v>11</v>
      </c>
      <c r="C75" s="2">
        <v>44309</v>
      </c>
      <c r="D75" s="2">
        <v>44309</v>
      </c>
      <c r="E75" s="1" t="s">
        <v>12</v>
      </c>
      <c r="F75" s="1" t="s">
        <v>13</v>
      </c>
      <c r="G75" s="1" t="str">
        <f>IF(H75="","",IFERROR(INDEX(tblOrgs[Client Name],MATCH(H75,tblOrgs[Client ABN],0)),""))</f>
        <v>Cubis Systems Australia Pty Ltd</v>
      </c>
      <c r="H75" s="1">
        <v>88108718350</v>
      </c>
    </row>
    <row r="76" spans="1:8" x14ac:dyDescent="0.25">
      <c r="A76" s="1" t="s">
        <v>122</v>
      </c>
      <c r="B76" s="1" t="s">
        <v>11</v>
      </c>
      <c r="C76" s="2">
        <v>44315</v>
      </c>
      <c r="D76" s="2">
        <v>44315</v>
      </c>
      <c r="E76" s="1" t="s">
        <v>12</v>
      </c>
      <c r="F76" s="1" t="s">
        <v>13</v>
      </c>
      <c r="G76" s="1" t="str">
        <f>IF(H76="","",IFERROR(INDEX(tblOrgs[Client Name],MATCH(H76,tblOrgs[Client ABN],0)),""))</f>
        <v>Newnham Trucking Pty Ltd</v>
      </c>
      <c r="H76" s="1">
        <v>25100435363</v>
      </c>
    </row>
    <row r="77" spans="1:8" x14ac:dyDescent="0.25">
      <c r="A77" s="1" t="s">
        <v>148</v>
      </c>
      <c r="B77" s="1" t="s">
        <v>11</v>
      </c>
      <c r="C77" s="2">
        <v>44327</v>
      </c>
      <c r="D77" s="2">
        <v>44327</v>
      </c>
      <c r="E77" s="1" t="s">
        <v>12</v>
      </c>
      <c r="F77" s="1" t="s">
        <v>13</v>
      </c>
      <c r="G77" s="1" t="str">
        <f>IF(H77="","",IFERROR(INDEX(tblOrgs[Client Name],MATCH(H77,tblOrgs[Client ABN],0)),""))</f>
        <v>Westkon Precast Pty Ltd</v>
      </c>
      <c r="H77" s="1">
        <v>92107423156</v>
      </c>
    </row>
    <row r="78" spans="1:8" x14ac:dyDescent="0.25">
      <c r="A78" s="1" t="s">
        <v>96</v>
      </c>
      <c r="B78" s="1" t="s">
        <v>11</v>
      </c>
      <c r="C78" s="2">
        <v>44327</v>
      </c>
      <c r="D78" s="2">
        <v>44327</v>
      </c>
      <c r="E78" s="1" t="s">
        <v>12</v>
      </c>
      <c r="F78" s="1" t="s">
        <v>13</v>
      </c>
      <c r="G78" s="1" t="str">
        <f>IF(H78="","",IFERROR(INDEX(tblOrgs[Client Name],MATCH(H78,tblOrgs[Client ABN],0)),""))</f>
        <v>Foran Civil Pty Ltd</v>
      </c>
      <c r="H78" s="1">
        <v>92161261874</v>
      </c>
    </row>
    <row r="79" spans="1:8" x14ac:dyDescent="0.25">
      <c r="A79" s="1" t="s">
        <v>117</v>
      </c>
      <c r="B79" s="1" t="s">
        <v>11</v>
      </c>
      <c r="C79" s="2">
        <v>44330</v>
      </c>
      <c r="D79" s="2">
        <v>44330</v>
      </c>
      <c r="E79" s="1" t="s">
        <v>12</v>
      </c>
      <c r="F79" s="1" t="s">
        <v>13</v>
      </c>
      <c r="G79" s="1" t="str">
        <f>IF(H79="","",IFERROR(INDEX(tblOrgs[Client Name],MATCH(H79,tblOrgs[Client ABN],0)),""))</f>
        <v>Millennium Plumbing and Drainage Contractors</v>
      </c>
      <c r="H79" s="1">
        <v>74935704619</v>
      </c>
    </row>
    <row r="80" spans="1:8" x14ac:dyDescent="0.25">
      <c r="A80" s="1" t="s">
        <v>146</v>
      </c>
      <c r="B80" s="1" t="s">
        <v>11</v>
      </c>
      <c r="C80" s="2">
        <v>44343</v>
      </c>
      <c r="D80" s="2">
        <v>44343</v>
      </c>
      <c r="E80" s="1" t="s">
        <v>12</v>
      </c>
      <c r="F80" s="1" t="s">
        <v>13</v>
      </c>
      <c r="G80" s="1" t="str">
        <f>IF(H80="","",IFERROR(INDEX(tblOrgs[Client Name],MATCH(H80,tblOrgs[Client ABN],0)),""))</f>
        <v>Warren Kopp Transport Pty Ltd</v>
      </c>
      <c r="H80" s="1">
        <v>97612535145</v>
      </c>
    </row>
    <row r="81" spans="1:8" x14ac:dyDescent="0.25">
      <c r="A81" s="1" t="s">
        <v>105</v>
      </c>
      <c r="B81" s="1" t="s">
        <v>11</v>
      </c>
      <c r="C81" s="2">
        <v>44414</v>
      </c>
      <c r="D81" s="2">
        <v>44414</v>
      </c>
      <c r="E81" s="1" t="s">
        <v>12</v>
      </c>
      <c r="F81" s="1" t="s">
        <v>13</v>
      </c>
      <c r="G81" s="1" t="str">
        <f>IF(H81="","",IFERROR(INDEX(tblOrgs[Client Name],MATCH(H81,tblOrgs[Client ABN],0)),""))</f>
        <v>Holcim (Australia) Pty Ltd</v>
      </c>
      <c r="H81" s="1">
        <v>87099732297</v>
      </c>
    </row>
    <row r="82" spans="1:8" x14ac:dyDescent="0.25">
      <c r="A82" s="1" t="s">
        <v>97</v>
      </c>
      <c r="B82" s="1" t="s">
        <v>11</v>
      </c>
      <c r="C82" s="2">
        <v>44375</v>
      </c>
      <c r="D82" s="2">
        <v>44375</v>
      </c>
      <c r="E82" s="1" t="s">
        <v>12</v>
      </c>
      <c r="F82" s="1" t="s">
        <v>13</v>
      </c>
      <c r="G82" s="1" t="str">
        <f>IF(H82="","",IFERROR(INDEX(tblOrgs[Client Name],MATCH(H82,tblOrgs[Client ABN],0)),""))</f>
        <v>Fresh Start Australia Pty Ltd</v>
      </c>
      <c r="H82" s="1">
        <v>77617764011</v>
      </c>
    </row>
    <row r="83" spans="1:8" x14ac:dyDescent="0.25">
      <c r="A83" s="1" t="s">
        <v>135</v>
      </c>
      <c r="B83" s="1" t="s">
        <v>11</v>
      </c>
      <c r="C83" s="2">
        <v>44400</v>
      </c>
      <c r="D83" s="2">
        <v>44400</v>
      </c>
      <c r="E83" s="1" t="s">
        <v>12</v>
      </c>
      <c r="F83" s="1" t="s">
        <v>13</v>
      </c>
      <c r="G83" s="1" t="str">
        <f>IF(H83="","",IFERROR(INDEX(tblOrgs[Client Name],MATCH(H83,tblOrgs[Client ABN],0)),""))</f>
        <v>STG Pumps Pty Ltd</v>
      </c>
      <c r="H83" s="1">
        <v>61602493872</v>
      </c>
    </row>
    <row r="84" spans="1:8" x14ac:dyDescent="0.25">
      <c r="A84" s="1" t="s">
        <v>66</v>
      </c>
      <c r="B84" s="1" t="s">
        <v>11</v>
      </c>
      <c r="C84" s="2">
        <v>44361</v>
      </c>
      <c r="D84" s="2">
        <v>44361</v>
      </c>
      <c r="E84" s="1" t="s">
        <v>12</v>
      </c>
      <c r="F84" s="1" t="s">
        <v>13</v>
      </c>
      <c r="G84" s="1" t="str">
        <f>IF(H84="","",IFERROR(INDEX(tblOrgs[Client Name],MATCH(H84,tblOrgs[Client ABN],0)),""))</f>
        <v>Abyss Construction Pty Ltd</v>
      </c>
      <c r="H84" s="1">
        <v>50614066223</v>
      </c>
    </row>
    <row r="85" spans="1:8" x14ac:dyDescent="0.25">
      <c r="A85" s="1" t="s">
        <v>143</v>
      </c>
      <c r="B85" s="1" t="s">
        <v>11</v>
      </c>
      <c r="C85" s="2">
        <v>44364</v>
      </c>
      <c r="D85" s="2">
        <v>44364</v>
      </c>
      <c r="E85" s="1" t="s">
        <v>12</v>
      </c>
      <c r="F85" s="1" t="s">
        <v>13</v>
      </c>
      <c r="G85" s="1" t="str">
        <f>IF(H85="","",IFERROR(INDEX(tblOrgs[Client Name],MATCH(H85,tblOrgs[Client ABN],0)),""))</f>
        <v>Universal Cranes (Sunshine Coast) Pty Ltd</v>
      </c>
      <c r="H85" s="1">
        <v>31114014667</v>
      </c>
    </row>
    <row r="86" spans="1:8" x14ac:dyDescent="0.25">
      <c r="A86" s="1" t="s">
        <v>120</v>
      </c>
      <c r="B86" s="1" t="s">
        <v>11</v>
      </c>
      <c r="C86" s="2">
        <v>44364</v>
      </c>
      <c r="D86" s="2">
        <v>44364</v>
      </c>
      <c r="E86" s="1" t="s">
        <v>12</v>
      </c>
      <c r="F86" s="1" t="s">
        <v>13</v>
      </c>
      <c r="G86" s="1" t="str">
        <f>IF(H86="","",IFERROR(INDEX(tblOrgs[Client Name],MATCH(H86,tblOrgs[Client ABN],0)),""))</f>
        <v>Nasi Pty Ltd</v>
      </c>
      <c r="H86" s="1">
        <v>41609980726</v>
      </c>
    </row>
    <row r="87" spans="1:8" x14ac:dyDescent="0.25">
      <c r="A87" s="1" t="s">
        <v>136</v>
      </c>
      <c r="B87" s="1" t="s">
        <v>11</v>
      </c>
      <c r="C87" s="2">
        <v>44375</v>
      </c>
      <c r="D87" s="2">
        <v>44375</v>
      </c>
      <c r="E87" s="1" t="s">
        <v>12</v>
      </c>
      <c r="F87" s="1" t="s">
        <v>13</v>
      </c>
      <c r="G87" s="1" t="str">
        <f>IF(H87="","",IFERROR(INDEX(tblOrgs[Client Name],MATCH(H87,tblOrgs[Client ABN],0)),""))</f>
        <v>T &amp; C Plumbing Services NSW Pty Ltd</v>
      </c>
      <c r="H87" s="1">
        <v>38628981617</v>
      </c>
    </row>
    <row r="88" spans="1:8" x14ac:dyDescent="0.25">
      <c r="A88" s="1" t="s">
        <v>76</v>
      </c>
      <c r="B88" s="1" t="s">
        <v>11</v>
      </c>
      <c r="C88" s="2">
        <v>44390</v>
      </c>
      <c r="D88" s="2">
        <v>44390</v>
      </c>
      <c r="E88" s="1" t="s">
        <v>12</v>
      </c>
      <c r="F88" s="1" t="s">
        <v>13</v>
      </c>
      <c r="G88" s="1" t="str">
        <f>IF(H88="","",IFERROR(INDEX(tblOrgs[Client Name],MATCH(H88,tblOrgs[Client ABN],0)),""))</f>
        <v>Brent Young Cranes Pty Ltd</v>
      </c>
      <c r="H88" s="1">
        <v>74795954655</v>
      </c>
    </row>
    <row r="89" spans="1:8" x14ac:dyDescent="0.25">
      <c r="A89" s="1" t="s">
        <v>73</v>
      </c>
      <c r="B89" s="1" t="s">
        <v>11</v>
      </c>
      <c r="C89" s="2">
        <v>44377</v>
      </c>
      <c r="D89" s="2">
        <v>44377</v>
      </c>
      <c r="E89" s="1" t="s">
        <v>12</v>
      </c>
      <c r="F89" s="1" t="s">
        <v>13</v>
      </c>
      <c r="G89" s="1" t="str">
        <f>IF(H89="","",IFERROR(INDEX(tblOrgs[Client Name],MATCH(H89,tblOrgs[Client ABN],0)),""))</f>
        <v>Barlina Pty Ltd</v>
      </c>
      <c r="H89" s="1">
        <v>40078243526</v>
      </c>
    </row>
    <row r="90" spans="1:8" x14ac:dyDescent="0.25">
      <c r="A90" s="1" t="s">
        <v>140</v>
      </c>
      <c r="B90" s="1" t="s">
        <v>11</v>
      </c>
      <c r="C90" s="2">
        <v>44379</v>
      </c>
      <c r="D90" s="2">
        <v>44379</v>
      </c>
      <c r="E90" s="1" t="s">
        <v>12</v>
      </c>
      <c r="F90" s="1" t="s">
        <v>13</v>
      </c>
      <c r="G90" s="1" t="str">
        <f>IF(H90="","",IFERROR(INDEX(tblOrgs[Client Name],MATCH(H90,tblOrgs[Client ABN],0)),""))</f>
        <v>Thomas Kingsley Resources Pty Ltd</v>
      </c>
      <c r="H90" s="1">
        <v>44147169748</v>
      </c>
    </row>
    <row r="91" spans="1:8" x14ac:dyDescent="0.25">
      <c r="A91" s="1" t="s">
        <v>125</v>
      </c>
      <c r="B91" s="1" t="s">
        <v>11</v>
      </c>
      <c r="C91" s="2">
        <v>44382</v>
      </c>
      <c r="D91" s="2">
        <v>44382</v>
      </c>
      <c r="E91" s="1" t="s">
        <v>12</v>
      </c>
      <c r="F91" s="1" t="s">
        <v>13</v>
      </c>
      <c r="G91" s="1" t="str">
        <f>IF(H91="","",IFERROR(INDEX(tblOrgs[Client Name],MATCH(H91,tblOrgs[Client ABN],0)),""))</f>
        <v>Pressure Works Pty Ltd</v>
      </c>
      <c r="H91" s="1">
        <v>94365883835</v>
      </c>
    </row>
    <row r="92" spans="1:8" x14ac:dyDescent="0.25">
      <c r="A92" s="1" t="s">
        <v>112</v>
      </c>
      <c r="B92" s="1" t="s">
        <v>11</v>
      </c>
      <c r="C92" s="2">
        <v>44382</v>
      </c>
      <c r="D92" s="2">
        <v>44382</v>
      </c>
      <c r="E92" s="1" t="s">
        <v>12</v>
      </c>
      <c r="F92" s="1" t="s">
        <v>13</v>
      </c>
      <c r="G92" s="1" t="str">
        <f>IF(H92="","",IFERROR(INDEX(tblOrgs[Client Name],MATCH(H92,tblOrgs[Client ABN],0)),""))</f>
        <v>LJ &amp; LJ Pty Ltd</v>
      </c>
      <c r="H92" s="1">
        <v>33612534442</v>
      </c>
    </row>
    <row r="93" spans="1:8" x14ac:dyDescent="0.25">
      <c r="A93" s="1" t="s">
        <v>115</v>
      </c>
      <c r="B93" s="1" t="s">
        <v>11</v>
      </c>
      <c r="C93" s="2">
        <v>44386</v>
      </c>
      <c r="D93" s="2">
        <v>44386</v>
      </c>
      <c r="E93" s="1" t="s">
        <v>12</v>
      </c>
      <c r="F93" s="1" t="s">
        <v>13</v>
      </c>
      <c r="G93" s="1" t="str">
        <f>IF(H93="","",IFERROR(INDEX(tblOrgs[Client Name],MATCH(H93,tblOrgs[Client ABN],0)),""))</f>
        <v>Mansell Premix Pty Ltd</v>
      </c>
      <c r="H93" s="1">
        <v>11124779148</v>
      </c>
    </row>
    <row r="94" spans="1:8" x14ac:dyDescent="0.25">
      <c r="A94" s="1" t="s">
        <v>77</v>
      </c>
      <c r="B94" s="1" t="s">
        <v>11</v>
      </c>
      <c r="C94" s="2">
        <v>44390</v>
      </c>
      <c r="D94" s="2">
        <v>44390</v>
      </c>
      <c r="E94" s="1" t="s">
        <v>12</v>
      </c>
      <c r="F94" s="1" t="s">
        <v>13</v>
      </c>
      <c r="G94" s="1" t="str">
        <f>IF(H94="","",IFERROR(INDEX(tblOrgs[Client Name],MATCH(H94,tblOrgs[Client ABN],0)),""))</f>
        <v>Bryco Civil Construction Pty Ltd</v>
      </c>
      <c r="H94" s="1">
        <v>67642143324</v>
      </c>
    </row>
    <row r="95" spans="1:8" x14ac:dyDescent="0.25">
      <c r="A95" s="1" t="s">
        <v>141</v>
      </c>
      <c r="B95" s="1" t="s">
        <v>11</v>
      </c>
      <c r="C95" s="2">
        <v>44396</v>
      </c>
      <c r="D95" s="2">
        <v>44396</v>
      </c>
      <c r="E95" s="1" t="s">
        <v>12</v>
      </c>
      <c r="F95" s="1" t="s">
        <v>13</v>
      </c>
      <c r="G95" s="1" t="str">
        <f>IF(H95="","",IFERROR(INDEX(tblOrgs[Client Name],MATCH(H95,tblOrgs[Client ABN],0)),""))</f>
        <v>Trelleborg Perth Pty Ltd</v>
      </c>
      <c r="H95" s="1">
        <v>35009674195</v>
      </c>
    </row>
    <row r="96" spans="1:8" x14ac:dyDescent="0.25">
      <c r="A96" s="1" t="s">
        <v>102</v>
      </c>
      <c r="B96" s="1" t="s">
        <v>11</v>
      </c>
      <c r="C96" s="2">
        <v>44399</v>
      </c>
      <c r="D96" s="2">
        <v>44399</v>
      </c>
      <c r="E96" s="1" t="s">
        <v>12</v>
      </c>
      <c r="F96" s="1" t="s">
        <v>13</v>
      </c>
      <c r="G96" s="1" t="str">
        <f>IF(H96="","",IFERROR(INDEX(tblOrgs[Client Name],MATCH(H96,tblOrgs[Client ABN],0)),""))</f>
        <v>Hiway Stabilizers Australia Pty Ltd</v>
      </c>
      <c r="H96" s="1">
        <v>40150650150</v>
      </c>
    </row>
    <row r="97" spans="1:8" x14ac:dyDescent="0.25">
      <c r="A97" s="1" t="s">
        <v>68</v>
      </c>
      <c r="B97" s="1" t="s">
        <v>11</v>
      </c>
      <c r="C97" s="2">
        <v>44504</v>
      </c>
      <c r="D97" s="2">
        <v>44504</v>
      </c>
      <c r="E97" s="1" t="s">
        <v>12</v>
      </c>
      <c r="F97" s="1" t="s">
        <v>13</v>
      </c>
      <c r="G97" s="1" t="str">
        <f>IF(H97="","",IFERROR(INDEX(tblOrgs[Client Name],MATCH(H97,tblOrgs[Client ABN],0)),""))</f>
        <v>Ace Civil Services Pty Ltd</v>
      </c>
      <c r="H97" s="1">
        <v>16131093466</v>
      </c>
    </row>
    <row r="98" spans="1:8" x14ac:dyDescent="0.25">
      <c r="A98" s="1" t="s">
        <v>133</v>
      </c>
      <c r="B98" s="1" t="s">
        <v>11</v>
      </c>
      <c r="C98" s="2">
        <v>44402</v>
      </c>
      <c r="D98" s="2">
        <v>44402</v>
      </c>
      <c r="E98" s="1" t="s">
        <v>12</v>
      </c>
      <c r="F98" s="1" t="s">
        <v>13</v>
      </c>
      <c r="G98" s="1" t="str">
        <f>IF(H98="","",IFERROR(INDEX(tblOrgs[Client Name],MATCH(H98,tblOrgs[Client ABN],0)),""))</f>
        <v>Shearform Pty Ltd</v>
      </c>
      <c r="H98" s="1">
        <v>82099070872</v>
      </c>
    </row>
    <row r="99" spans="1:8" x14ac:dyDescent="0.25">
      <c r="A99" s="1" t="s">
        <v>101</v>
      </c>
      <c r="B99" s="1" t="s">
        <v>11</v>
      </c>
      <c r="C99" s="2">
        <v>44392</v>
      </c>
      <c r="D99" s="2">
        <v>44392</v>
      </c>
      <c r="E99" s="1" t="s">
        <v>12</v>
      </c>
      <c r="F99" s="1" t="s">
        <v>13</v>
      </c>
      <c r="G99" s="1" t="str">
        <f>IF(H99="","",IFERROR(INDEX(tblOrgs[Client Name],MATCH(H99,tblOrgs[Client ABN],0)),""))</f>
        <v>GVP Fabricators Pty Ltd</v>
      </c>
      <c r="H99" s="1">
        <v>59082132394</v>
      </c>
    </row>
    <row r="100" spans="1:8" x14ac:dyDescent="0.25">
      <c r="A100" s="1" t="s">
        <v>71</v>
      </c>
      <c r="B100" s="1" t="s">
        <v>11</v>
      </c>
      <c r="C100" s="2">
        <v>44399</v>
      </c>
      <c r="D100" s="2">
        <v>44399</v>
      </c>
      <c r="E100" s="1" t="s">
        <v>12</v>
      </c>
      <c r="F100" s="1" t="s">
        <v>13</v>
      </c>
      <c r="G100" s="1" t="str">
        <f>IF(H100="","",IFERROR(INDEX(tblOrgs[Client Name],MATCH(H100,tblOrgs[Client ABN],0)),""))</f>
        <v>Ash (Vic) Pty Ltd</v>
      </c>
      <c r="H100" s="1">
        <v>29115372613</v>
      </c>
    </row>
    <row r="101" spans="1:8" x14ac:dyDescent="0.25">
      <c r="A101" s="1" t="s">
        <v>104</v>
      </c>
      <c r="B101" s="1" t="s">
        <v>11</v>
      </c>
      <c r="C101" s="2">
        <v>44357</v>
      </c>
      <c r="D101" s="2">
        <v>44357</v>
      </c>
      <c r="E101" s="1" t="s">
        <v>12</v>
      </c>
      <c r="F101" s="1" t="s">
        <v>13</v>
      </c>
      <c r="G101" s="1" t="str">
        <f>IF(H101="","",IFERROR(INDEX(tblOrgs[Client Name],MATCH(H101,tblOrgs[Client ABN],0)),""))</f>
        <v>Holcim (Australia) Pty Ltd</v>
      </c>
      <c r="H101" s="1">
        <v>87099732297</v>
      </c>
    </row>
    <row r="102" spans="1:8" x14ac:dyDescent="0.25">
      <c r="A102" s="1" t="s">
        <v>103</v>
      </c>
      <c r="B102" s="1" t="s">
        <v>11</v>
      </c>
      <c r="C102" s="2">
        <v>44419</v>
      </c>
      <c r="D102" s="2">
        <v>44419</v>
      </c>
      <c r="E102" s="1" t="s">
        <v>12</v>
      </c>
      <c r="F102" s="1" t="s">
        <v>13</v>
      </c>
      <c r="G102" s="1" t="str">
        <f>IF(H102="","",IFERROR(INDEX(tblOrgs[Client Name],MATCH(H102,tblOrgs[Client ABN],0)),""))</f>
        <v>HL Landscapes Pty Ltd</v>
      </c>
      <c r="H102" s="1">
        <v>92119886734</v>
      </c>
    </row>
    <row r="103" spans="1:8" x14ac:dyDescent="0.25">
      <c r="A103" s="1" t="s">
        <v>100</v>
      </c>
      <c r="B103" s="1" t="s">
        <v>11</v>
      </c>
      <c r="C103" s="2">
        <v>44424</v>
      </c>
      <c r="D103" s="2">
        <v>44424</v>
      </c>
      <c r="E103" s="1" t="s">
        <v>12</v>
      </c>
      <c r="F103" s="1" t="s">
        <v>13</v>
      </c>
      <c r="G103" s="1" t="str">
        <f>IF(H103="","",IFERROR(INDEX(tblOrgs[Client Name],MATCH(H103,tblOrgs[Client ABN],0)),""))</f>
        <v>Grid Logistics Pty Ltd</v>
      </c>
      <c r="H103" s="1">
        <v>44630948739</v>
      </c>
    </row>
    <row r="104" spans="1:8" x14ac:dyDescent="0.25">
      <c r="A104" s="1" t="s">
        <v>86</v>
      </c>
      <c r="B104" s="1" t="s">
        <v>11</v>
      </c>
      <c r="C104" s="2">
        <v>44421</v>
      </c>
      <c r="D104" s="2">
        <v>44421</v>
      </c>
      <c r="E104" s="1" t="s">
        <v>12</v>
      </c>
      <c r="F104" s="1" t="s">
        <v>13</v>
      </c>
      <c r="G104" s="1" t="str">
        <f>IF(H104="","",IFERROR(INDEX(tblOrgs[Client Name],MATCH(H104,tblOrgs[Client ABN],0)),""))</f>
        <v>Dalyâ€™s Constructions (Aust) Pty Ltd</v>
      </c>
      <c r="H104" s="1">
        <v>74091546735</v>
      </c>
    </row>
    <row r="105" spans="1:8" x14ac:dyDescent="0.25">
      <c r="A105" s="1" t="s">
        <v>142</v>
      </c>
      <c r="B105" s="1" t="s">
        <v>11</v>
      </c>
      <c r="C105" s="2">
        <v>44424</v>
      </c>
      <c r="D105" s="2">
        <v>44424</v>
      </c>
      <c r="E105" s="1" t="s">
        <v>12</v>
      </c>
      <c r="F105" s="1" t="s">
        <v>13</v>
      </c>
      <c r="G105" s="1" t="str">
        <f>IF(H105="","",IFERROR(INDEX(tblOrgs[Client Name],MATCH(H105,tblOrgs[Client ABN],0)),""))</f>
        <v>Tutt Bryant Group Limited</v>
      </c>
      <c r="H105" s="1">
        <v>89009242675</v>
      </c>
    </row>
    <row r="106" spans="1:8" x14ac:dyDescent="0.25">
      <c r="A106" s="1" t="s">
        <v>83</v>
      </c>
      <c r="B106" s="1" t="s">
        <v>11</v>
      </c>
      <c r="C106" s="2">
        <v>44431</v>
      </c>
      <c r="D106" s="2">
        <v>44431</v>
      </c>
      <c r="E106" s="1" t="s">
        <v>12</v>
      </c>
      <c r="F106" s="1" t="s">
        <v>13</v>
      </c>
      <c r="G106" s="1" t="str">
        <f>IF(H106="","",IFERROR(INDEX(tblOrgs[Client Name],MATCH(H106,tblOrgs[Client ABN],0)),""))</f>
        <v>Comfort Sleep Bedding Pty Ltd</v>
      </c>
      <c r="H106" s="1">
        <v>52655705114</v>
      </c>
    </row>
    <row r="107" spans="1:8" x14ac:dyDescent="0.25">
      <c r="A107" s="1" t="s">
        <v>107</v>
      </c>
      <c r="B107" s="1" t="s">
        <v>11</v>
      </c>
      <c r="C107" s="2">
        <v>44428</v>
      </c>
      <c r="D107" s="2">
        <v>44428</v>
      </c>
      <c r="E107" s="1" t="s">
        <v>12</v>
      </c>
      <c r="F107" s="1" t="s">
        <v>13</v>
      </c>
      <c r="G107" s="1" t="str">
        <f>IF(H107="","",IFERROR(INDEX(tblOrgs[Client Name],MATCH(H107,tblOrgs[Client ABN],0)),""))</f>
        <v>Kangaroo Transport &amp; Haulage Pty Ltd</v>
      </c>
      <c r="H107" s="1">
        <v>86629168985</v>
      </c>
    </row>
    <row r="108" spans="1:8" x14ac:dyDescent="0.25">
      <c r="A108" s="1" t="s">
        <v>106</v>
      </c>
      <c r="B108" s="1" t="s">
        <v>11</v>
      </c>
      <c r="C108" s="2">
        <v>44428</v>
      </c>
      <c r="D108" s="2">
        <v>44428</v>
      </c>
      <c r="E108" s="1" t="s">
        <v>12</v>
      </c>
      <c r="F108" s="1" t="s">
        <v>13</v>
      </c>
      <c r="G108" s="1" t="str">
        <f>IF(H108="","",IFERROR(INDEX(tblOrgs[Client Name],MATCH(H108,tblOrgs[Client ABN],0)),""))</f>
        <v>Hyperion Technology Pty Ltd</v>
      </c>
      <c r="H108" s="1">
        <v>37629333946</v>
      </c>
    </row>
    <row r="109" spans="1:8" x14ac:dyDescent="0.25">
      <c r="A109" s="1" t="s">
        <v>88</v>
      </c>
      <c r="B109" s="1" t="s">
        <v>11</v>
      </c>
      <c r="C109" s="2">
        <v>44438</v>
      </c>
      <c r="D109" s="2">
        <v>44438</v>
      </c>
      <c r="E109" s="1" t="s">
        <v>12</v>
      </c>
      <c r="F109" s="1" t="s">
        <v>13</v>
      </c>
      <c r="G109" s="1" t="str">
        <f>IF(H109="","",IFERROR(INDEX(tblOrgs[Client Name],MATCH(H109,tblOrgs[Client ABN],0)),""))</f>
        <v>Durkin Construction Pty Ltd</v>
      </c>
      <c r="H109" s="1">
        <v>73615246118</v>
      </c>
    </row>
    <row r="110" spans="1:8" x14ac:dyDescent="0.25">
      <c r="A110" s="1" t="s">
        <v>99</v>
      </c>
      <c r="B110" s="1" t="s">
        <v>11</v>
      </c>
      <c r="C110" s="2">
        <v>44440</v>
      </c>
      <c r="D110" s="2">
        <v>44440</v>
      </c>
      <c r="E110" s="1" t="s">
        <v>12</v>
      </c>
      <c r="F110" s="1" t="s">
        <v>13</v>
      </c>
      <c r="G110" s="1" t="str">
        <f>IF(H110="","",IFERROR(INDEX(tblOrgs[Client Name],MATCH(H110,tblOrgs[Client ABN],0)),""))</f>
        <v>Gillies Civil Pty Ltd</v>
      </c>
      <c r="H110" s="1">
        <v>31475957719</v>
      </c>
    </row>
    <row r="111" spans="1:8" x14ac:dyDescent="0.25">
      <c r="A111" s="1" t="s">
        <v>121</v>
      </c>
      <c r="B111" s="1" t="s">
        <v>11</v>
      </c>
      <c r="C111" s="2">
        <v>44446</v>
      </c>
      <c r="D111" s="2">
        <v>44446</v>
      </c>
      <c r="E111" s="1" t="s">
        <v>12</v>
      </c>
      <c r="F111" s="1" t="s">
        <v>13</v>
      </c>
      <c r="G111" s="1" t="str">
        <f>IF(H111="","",IFERROR(INDEX(tblOrgs[Client Name],MATCH(H111,tblOrgs[Client ABN],0)),""))</f>
        <v>Neilsens Holdings Pty Ltd</v>
      </c>
      <c r="H111" s="1">
        <v>92009940989</v>
      </c>
    </row>
    <row r="112" spans="1:8" x14ac:dyDescent="0.25">
      <c r="A112" s="1" t="s">
        <v>82</v>
      </c>
      <c r="B112" s="1" t="s">
        <v>11</v>
      </c>
      <c r="C112" s="2">
        <v>44447</v>
      </c>
      <c r="D112" s="2">
        <v>44447</v>
      </c>
      <c r="E112" s="1" t="s">
        <v>12</v>
      </c>
      <c r="F112" s="1" t="s">
        <v>13</v>
      </c>
      <c r="G112" s="1" t="str">
        <f>IF(H112="","",IFERROR(INDEX(tblOrgs[Client Name],MATCH(H112,tblOrgs[Client ABN],0)),""))</f>
        <v>Coates Hire Operations Pty Limited</v>
      </c>
      <c r="H112" s="1">
        <v>99074126971</v>
      </c>
    </row>
    <row r="113" spans="1:8" x14ac:dyDescent="0.25">
      <c r="A113" s="1" t="s">
        <v>111</v>
      </c>
      <c r="B113" s="1" t="s">
        <v>11</v>
      </c>
      <c r="C113" s="2">
        <v>44448</v>
      </c>
      <c r="D113" s="2">
        <v>44448</v>
      </c>
      <c r="E113" s="1" t="s">
        <v>12</v>
      </c>
      <c r="F113" s="1" t="s">
        <v>13</v>
      </c>
      <c r="G113" s="1" t="str">
        <f>IF(H113="","",IFERROR(INDEX(tblOrgs[Client Name],MATCH(H113,tblOrgs[Client ABN],0)),""))</f>
        <v>LCR Group Pty Ltd</v>
      </c>
      <c r="H113" s="1">
        <v>78095626798</v>
      </c>
    </row>
    <row r="114" spans="1:8" x14ac:dyDescent="0.25">
      <c r="A114" s="1" t="s">
        <v>89</v>
      </c>
      <c r="B114" s="1" t="s">
        <v>11</v>
      </c>
      <c r="C114" s="2">
        <v>44422</v>
      </c>
      <c r="D114" s="2">
        <v>44422</v>
      </c>
      <c r="E114" s="1" t="s">
        <v>12</v>
      </c>
      <c r="F114" s="1" t="s">
        <v>13</v>
      </c>
      <c r="G114" s="1" t="str">
        <f>IF(H114="","",IFERROR(INDEX(tblOrgs[Client Name],MATCH(H114,tblOrgs[Client ABN],0)),""))</f>
        <v>Earthtek Excavations Pty Ltd</v>
      </c>
      <c r="H114" s="1">
        <v>54090536575</v>
      </c>
    </row>
    <row r="115" spans="1:8" x14ac:dyDescent="0.25">
      <c r="A115" s="1" t="s">
        <v>149</v>
      </c>
      <c r="B115" s="1" t="s">
        <v>11</v>
      </c>
      <c r="C115" s="2">
        <v>44422</v>
      </c>
      <c r="D115" s="2">
        <v>44422</v>
      </c>
      <c r="E115" s="1" t="s">
        <v>12</v>
      </c>
      <c r="F115" s="1" t="s">
        <v>62</v>
      </c>
      <c r="G115" s="1" t="str">
        <f>IF(H115="","",IFERROR(INDEX(tblOrgs[Client Name],MATCH(H115,tblOrgs[Client ABN],0)),""))</f>
        <v>Earthtek Excavations Pty Ltd</v>
      </c>
      <c r="H115" s="1">
        <v>54090536575</v>
      </c>
    </row>
    <row r="116" spans="1:8" x14ac:dyDescent="0.25">
      <c r="A116" s="1" t="s">
        <v>75</v>
      </c>
      <c r="B116" s="1" t="s">
        <v>11</v>
      </c>
      <c r="C116" s="2">
        <v>44480</v>
      </c>
      <c r="D116" s="2">
        <v>44480</v>
      </c>
      <c r="E116" s="1" t="s">
        <v>12</v>
      </c>
      <c r="F116" s="1" t="s">
        <v>13</v>
      </c>
      <c r="G116" s="1" t="str">
        <f>IF(H116="","",IFERROR(INDEX(tblOrgs[Client Name],MATCH(H116,tblOrgs[Client ABN],0)),""))</f>
        <v>Bitupave Ltd</v>
      </c>
      <c r="H116" s="1">
        <v>53000102376</v>
      </c>
    </row>
    <row r="117" spans="1:8" x14ac:dyDescent="0.25">
      <c r="A117" s="1" t="s">
        <v>144</v>
      </c>
      <c r="B117" s="1" t="s">
        <v>11</v>
      </c>
      <c r="C117" s="2">
        <v>44507</v>
      </c>
      <c r="D117" s="2">
        <v>44507</v>
      </c>
      <c r="E117" s="1" t="s">
        <v>12</v>
      </c>
      <c r="F117" s="1" t="s">
        <v>13</v>
      </c>
      <c r="G117" s="1" t="str">
        <f>IF(H117="","",IFERROR(INDEX(tblOrgs[Client Name],MATCH(H117,tblOrgs[Client ABN],0)),""))</f>
        <v>Victorian Crane Hire Pty Ltd</v>
      </c>
      <c r="H117" s="1">
        <v>15619105092</v>
      </c>
    </row>
    <row r="118" spans="1:8" x14ac:dyDescent="0.25">
      <c r="A118" s="1" t="s">
        <v>95</v>
      </c>
      <c r="B118" s="1" t="s">
        <v>11</v>
      </c>
      <c r="C118" s="2">
        <v>44491</v>
      </c>
      <c r="D118" s="2">
        <v>44491</v>
      </c>
      <c r="E118" s="1" t="s">
        <v>12</v>
      </c>
      <c r="F118" s="1" t="s">
        <v>13</v>
      </c>
      <c r="G118" s="1" t="str">
        <f>IF(H118="","",IFERROR(INDEX(tblOrgs[Client Name],MATCH(H118,tblOrgs[Client ABN],0)),""))</f>
        <v>Flomar Pty Ltd</v>
      </c>
      <c r="H118" s="1">
        <v>24617070407</v>
      </c>
    </row>
    <row r="119" spans="1:8" x14ac:dyDescent="0.25">
      <c r="A119" s="1" t="s">
        <v>110</v>
      </c>
      <c r="B119" s="1" t="s">
        <v>11</v>
      </c>
      <c r="C119" s="2">
        <v>44495</v>
      </c>
      <c r="D119" s="2">
        <v>44495</v>
      </c>
      <c r="E119" s="1" t="s">
        <v>12</v>
      </c>
      <c r="F119" s="1" t="s">
        <v>13</v>
      </c>
      <c r="G119" s="1" t="str">
        <f>IF(H119="","",IFERROR(INDEX(tblOrgs[Client Name],MATCH(H119,tblOrgs[Client ABN],0)),""))</f>
        <v>Kenny Constructions (Aust.) Pty. Limited</v>
      </c>
      <c r="H119" s="1">
        <v>74096169416</v>
      </c>
    </row>
    <row r="120" spans="1:8" x14ac:dyDescent="0.25">
      <c r="A120" s="1" t="s">
        <v>94</v>
      </c>
      <c r="B120" s="1" t="s">
        <v>11</v>
      </c>
      <c r="C120" s="2">
        <v>44503</v>
      </c>
      <c r="D120" s="2">
        <v>44503</v>
      </c>
      <c r="E120" s="1" t="s">
        <v>12</v>
      </c>
      <c r="F120" s="1" t="s">
        <v>13</v>
      </c>
      <c r="G120" s="1" t="str">
        <f>IF(H120="","",IFERROR(INDEX(tblOrgs[Client Name],MATCH(H120,tblOrgs[Client ABN],0)),""))</f>
        <v>Evolution Group Holdings Pty Ltd</v>
      </c>
      <c r="H120" s="1">
        <v>14147834133</v>
      </c>
    </row>
    <row r="121" spans="1:8" x14ac:dyDescent="0.25">
      <c r="A121" s="1" t="s">
        <v>132</v>
      </c>
      <c r="B121" s="1" t="s">
        <v>11</v>
      </c>
      <c r="C121" s="2">
        <v>44503</v>
      </c>
      <c r="D121" s="2">
        <v>44503</v>
      </c>
      <c r="E121" s="1" t="s">
        <v>12</v>
      </c>
      <c r="F121" s="1" t="s">
        <v>13</v>
      </c>
      <c r="G121" s="1" t="str">
        <f>IF(H121="","",IFERROR(INDEX(tblOrgs[Client Name],MATCH(H121,tblOrgs[Client ABN],0)),""))</f>
        <v>SAF Group Pty Ltd</v>
      </c>
      <c r="H121" s="1">
        <v>61126104489</v>
      </c>
    </row>
    <row r="122" spans="1:8" x14ac:dyDescent="0.25">
      <c r="A122" s="1" t="s">
        <v>67</v>
      </c>
      <c r="B122" s="1" t="s">
        <v>11</v>
      </c>
      <c r="C122" s="2">
        <v>44400</v>
      </c>
      <c r="D122" s="2">
        <v>44400</v>
      </c>
      <c r="E122" s="1" t="s">
        <v>12</v>
      </c>
      <c r="F122" s="1" t="s">
        <v>13</v>
      </c>
      <c r="G122" s="1" t="str">
        <f>IF(H122="","",IFERROR(INDEX(tblOrgs[Client Name],MATCH(H122,tblOrgs[Client ABN],0)),""))</f>
        <v>Ace Civil Services Pty Ltd</v>
      </c>
      <c r="H122" s="1">
        <v>16131093466</v>
      </c>
    </row>
    <row r="123" spans="1:8" x14ac:dyDescent="0.25">
      <c r="A123" s="1" t="s">
        <v>70</v>
      </c>
      <c r="B123" s="1" t="s">
        <v>11</v>
      </c>
      <c r="C123" s="2">
        <v>44525</v>
      </c>
      <c r="D123" s="2">
        <v>44525</v>
      </c>
      <c r="E123" s="1" t="s">
        <v>12</v>
      </c>
      <c r="F123" s="1" t="s">
        <v>13</v>
      </c>
      <c r="G123" s="1" t="str">
        <f>IF(H123="","",IFERROR(INDEX(tblOrgs[Client Name],MATCH(H123,tblOrgs[Client ABN],0)),""))</f>
        <v>As you like it Landscaping Pty Ltd</v>
      </c>
      <c r="H123" s="1">
        <v>51064081956</v>
      </c>
    </row>
    <row r="124" spans="1:8" x14ac:dyDescent="0.25">
      <c r="A124" s="1" t="s">
        <v>134</v>
      </c>
      <c r="B124" s="1" t="s">
        <v>11</v>
      </c>
      <c r="C124" s="2">
        <v>44502</v>
      </c>
      <c r="D124" s="2">
        <v>44502</v>
      </c>
      <c r="E124" s="1" t="s">
        <v>12</v>
      </c>
      <c r="F124" s="1" t="s">
        <v>13</v>
      </c>
      <c r="G124" s="1" t="str">
        <f>IF(H124="","",IFERROR(INDEX(tblOrgs[Client Name],MATCH(H124,tblOrgs[Client ABN],0)),""))</f>
        <v>Stephens Plant Hire Pty Ltd</v>
      </c>
      <c r="H124" s="1">
        <v>41612483011</v>
      </c>
    </row>
    <row r="125" spans="1:8" x14ac:dyDescent="0.25">
      <c r="A125" s="1" t="s">
        <v>113</v>
      </c>
      <c r="B125" s="1" t="s">
        <v>11</v>
      </c>
      <c r="C125" s="2">
        <v>44476</v>
      </c>
      <c r="D125" s="2">
        <v>44476</v>
      </c>
      <c r="E125" s="1" t="s">
        <v>12</v>
      </c>
      <c r="F125" s="1" t="s">
        <v>13</v>
      </c>
      <c r="G125" s="1" t="str">
        <f>IF(H125="","",IFERROR(INDEX(tblOrgs[Client Name],MATCH(H125,tblOrgs[Client ABN],0)),""))</f>
        <v>Maas Group Holdings</v>
      </c>
      <c r="H125" s="1">
        <v>84632994542</v>
      </c>
    </row>
    <row r="126" spans="1:8" x14ac:dyDescent="0.25">
      <c r="A126" s="1" t="s">
        <v>74</v>
      </c>
      <c r="B126" s="1" t="s">
        <v>11</v>
      </c>
      <c r="C126" s="2">
        <v>44510</v>
      </c>
      <c r="D126" s="2">
        <v>44510</v>
      </c>
      <c r="E126" s="1" t="s">
        <v>12</v>
      </c>
      <c r="F126" s="1" t="s">
        <v>13</v>
      </c>
      <c r="G126" s="1" t="str">
        <f>IF(H126="","",IFERROR(INDEX(tblOrgs[Client Name],MATCH(H126,tblOrgs[Client ABN],0)),""))</f>
        <v>Betts Blasting Pty Ltd</v>
      </c>
      <c r="H126" s="1">
        <v>59147526583</v>
      </c>
    </row>
    <row r="127" spans="1:8" x14ac:dyDescent="0.25">
      <c r="A127" s="1" t="s">
        <v>109</v>
      </c>
      <c r="B127" s="1" t="s">
        <v>11</v>
      </c>
      <c r="C127" s="2">
        <v>44516</v>
      </c>
      <c r="D127" s="2">
        <v>44516</v>
      </c>
      <c r="E127" s="1" t="s">
        <v>12</v>
      </c>
      <c r="F127" s="1" t="s">
        <v>13</v>
      </c>
      <c r="G127" s="1" t="str">
        <f>IF(H127="","",IFERROR(INDEX(tblOrgs[Client Name],MATCH(H127,tblOrgs[Client ABN],0)),""))</f>
        <v>Kellys Earthworks Pty Ltd</v>
      </c>
      <c r="H127" s="1">
        <v>59607689289</v>
      </c>
    </row>
    <row r="128" spans="1:8" x14ac:dyDescent="0.25">
      <c r="A128" s="1" t="s">
        <v>126</v>
      </c>
      <c r="B128" s="1" t="s">
        <v>11</v>
      </c>
      <c r="C128" s="2">
        <v>44489</v>
      </c>
      <c r="D128" s="2">
        <v>44489</v>
      </c>
      <c r="E128" s="1" t="s">
        <v>12</v>
      </c>
      <c r="F128" s="1" t="s">
        <v>13</v>
      </c>
      <c r="G128" s="1" t="str">
        <f>IF(H128="","",IFERROR(INDEX(tblOrgs[Client Name],MATCH(H128,tblOrgs[Client ABN],0)),""))</f>
        <v>Queensland Pre-Stressing Pty Ltd</v>
      </c>
      <c r="H128" s="1">
        <v>95063541873</v>
      </c>
    </row>
    <row r="129" spans="1:8" x14ac:dyDescent="0.25">
      <c r="A129" s="1" t="s">
        <v>84</v>
      </c>
      <c r="B129" s="1" t="s">
        <v>11</v>
      </c>
      <c r="C129" s="2">
        <v>44522</v>
      </c>
      <c r="D129" s="2">
        <v>44522</v>
      </c>
      <c r="E129" s="1" t="s">
        <v>12</v>
      </c>
      <c r="F129" s="1" t="s">
        <v>13</v>
      </c>
      <c r="G129" s="1" t="str">
        <f>IF(H129="","",IFERROR(INDEX(tblOrgs[Client Name],MATCH(H129,tblOrgs[Client ABN],0)),""))</f>
        <v>Cono Services Pty Ltd</v>
      </c>
      <c r="H129" s="1">
        <v>90167205656</v>
      </c>
    </row>
    <row r="130" spans="1:8" x14ac:dyDescent="0.25">
      <c r="A130" s="1" t="s">
        <v>118</v>
      </c>
      <c r="B130" s="1" t="s">
        <v>11</v>
      </c>
      <c r="C130" s="2">
        <v>44502</v>
      </c>
      <c r="D130" s="2">
        <v>44502</v>
      </c>
      <c r="E130" s="1" t="s">
        <v>12</v>
      </c>
      <c r="F130" s="1" t="s">
        <v>13</v>
      </c>
      <c r="G130" s="1" t="str">
        <f>IF(H130="","",IFERROR(INDEX(tblOrgs[Client Name],MATCH(H130,tblOrgs[Client ABN],0)),""))</f>
        <v>Modcast Pty Ltd</v>
      </c>
      <c r="H130" s="1">
        <v>30626198847</v>
      </c>
    </row>
    <row r="131" spans="1:8" x14ac:dyDescent="0.25">
      <c r="A131" s="1" t="s">
        <v>139</v>
      </c>
      <c r="B131" s="1" t="s">
        <v>11</v>
      </c>
      <c r="C131" s="2">
        <v>44532</v>
      </c>
      <c r="D131" s="2">
        <v>44532</v>
      </c>
      <c r="E131" s="1" t="s">
        <v>12</v>
      </c>
      <c r="F131" s="1" t="s">
        <v>13</v>
      </c>
      <c r="G131" s="1" t="str">
        <f>IF(H131="","",IFERROR(INDEX(tblOrgs[Client Name],MATCH(H131,tblOrgs[Client ABN],0)),""))</f>
        <v>Taylors Freight Transport Pty Ltd</v>
      </c>
      <c r="H131" s="1">
        <v>91136398126</v>
      </c>
    </row>
    <row r="132" spans="1:8" x14ac:dyDescent="0.25">
      <c r="A132" s="1" t="s">
        <v>130</v>
      </c>
      <c r="B132" s="1" t="s">
        <v>11</v>
      </c>
      <c r="C132" s="2">
        <v>44502</v>
      </c>
      <c r="D132" s="2">
        <v>44502</v>
      </c>
      <c r="E132" s="1" t="s">
        <v>12</v>
      </c>
      <c r="F132" s="1" t="s">
        <v>13</v>
      </c>
      <c r="G132" s="1" t="str">
        <f>IF(H132="","",IFERROR(INDEX(tblOrgs[Client Name],MATCH(H132,tblOrgs[Client ABN],0)),""))</f>
        <v>Reinforced Earth Pty Ltd</v>
      </c>
      <c r="H132" s="1">
        <v>53001215327</v>
      </c>
    </row>
    <row r="133" spans="1:8" x14ac:dyDescent="0.25">
      <c r="A133" s="1" t="s">
        <v>127</v>
      </c>
      <c r="B133" s="1" t="s">
        <v>11</v>
      </c>
      <c r="C133" s="2">
        <v>44536</v>
      </c>
      <c r="D133" s="2">
        <v>44536</v>
      </c>
      <c r="E133" s="1" t="s">
        <v>12</v>
      </c>
      <c r="F133" s="1" t="s">
        <v>13</v>
      </c>
      <c r="G133" s="1" t="str">
        <f>IF(H133="","",IFERROR(INDEX(tblOrgs[Client Name],MATCH(H133,tblOrgs[Client ABN],0)),""))</f>
        <v>RA Smith Contracting Pty Ltd</v>
      </c>
      <c r="H133" s="1">
        <v>65006694702</v>
      </c>
    </row>
    <row r="134" spans="1:8" x14ac:dyDescent="0.25">
      <c r="A134" s="1" t="s">
        <v>124</v>
      </c>
      <c r="B134" s="1" t="s">
        <v>11</v>
      </c>
      <c r="C134" s="2">
        <v>44483</v>
      </c>
      <c r="D134" s="2">
        <v>44483</v>
      </c>
      <c r="E134" s="1" t="s">
        <v>12</v>
      </c>
      <c r="F134" s="1" t="s">
        <v>13</v>
      </c>
      <c r="G134" s="1" t="str">
        <f>IF(H134="","",IFERROR(INDEX(tblOrgs[Client Name],MATCH(H134,tblOrgs[Client ABN],0)),""))</f>
        <v>Precision Pipe Networks Pty Ltd</v>
      </c>
      <c r="H134" s="1">
        <v>79610774199</v>
      </c>
    </row>
    <row r="135" spans="1:8" x14ac:dyDescent="0.25">
      <c r="A135" s="1" t="s">
        <v>227</v>
      </c>
      <c r="B135" s="1" t="s">
        <v>11</v>
      </c>
      <c r="C135" s="2">
        <v>44573</v>
      </c>
      <c r="D135" s="2">
        <v>44573</v>
      </c>
      <c r="E135" s="1" t="s">
        <v>12</v>
      </c>
      <c r="F135" s="1" t="s">
        <v>13</v>
      </c>
      <c r="G135" s="1" t="str">
        <f>IF(H135="","",IFERROR(INDEX(tblOrgs[Client Name],MATCH(H135,tblOrgs[Client ABN],0)),""))</f>
        <v>Wessel Drilling Pty Ltd</v>
      </c>
      <c r="H135" s="1">
        <v>88604544023</v>
      </c>
    </row>
    <row r="136" spans="1:8" x14ac:dyDescent="0.25">
      <c r="A136" s="1" t="s">
        <v>212</v>
      </c>
      <c r="B136" s="1" t="s">
        <v>11</v>
      </c>
      <c r="C136" s="2">
        <v>44578</v>
      </c>
      <c r="D136" s="2">
        <v>44578</v>
      </c>
      <c r="E136" s="1" t="s">
        <v>12</v>
      </c>
      <c r="F136" s="1" t="s">
        <v>13</v>
      </c>
      <c r="G136" s="1" t="str">
        <f>IF(H136="","",IFERROR(INDEX(tblOrgs[Client Name],MATCH(H136,tblOrgs[Client ABN],0)),""))</f>
        <v>Rhomberg Rail Australia Pty Ltd</v>
      </c>
      <c r="H136" s="1">
        <v>70082016608</v>
      </c>
    </row>
    <row r="137" spans="1:8" x14ac:dyDescent="0.25">
      <c r="A137" s="1" t="s">
        <v>160</v>
      </c>
      <c r="B137" s="1" t="s">
        <v>11</v>
      </c>
      <c r="C137" s="2">
        <v>44578</v>
      </c>
      <c r="D137" s="2">
        <v>44578</v>
      </c>
      <c r="E137" s="1" t="s">
        <v>12</v>
      </c>
      <c r="F137" s="1" t="s">
        <v>13</v>
      </c>
      <c r="G137" s="1" t="str">
        <f>IF(H137="","",IFERROR(INDEX(tblOrgs[Client Name],MATCH(H137,tblOrgs[Client ABN],0)),""))</f>
        <v>Australian Utilities Management Pty Ltd</v>
      </c>
      <c r="H137" s="1">
        <v>50140551104</v>
      </c>
    </row>
    <row r="138" spans="1:8" x14ac:dyDescent="0.25">
      <c r="A138" s="1" t="s">
        <v>201</v>
      </c>
      <c r="B138" s="1" t="s">
        <v>11</v>
      </c>
      <c r="C138" s="2">
        <v>44873</v>
      </c>
      <c r="D138" s="2">
        <v>44873</v>
      </c>
      <c r="E138" s="1" t="s">
        <v>12</v>
      </c>
      <c r="F138" s="1" t="s">
        <v>13</v>
      </c>
      <c r="G138" s="1" t="str">
        <f>IF(H138="","",IFERROR(INDEX(tblOrgs[Client Name],MATCH(H138,tblOrgs[Client ABN],0)),""))</f>
        <v>Mataniel Laurate Pty Ltd</v>
      </c>
      <c r="H138" s="1">
        <v>37094906028</v>
      </c>
    </row>
    <row r="139" spans="1:8" x14ac:dyDescent="0.25">
      <c r="A139" s="1" t="s">
        <v>210</v>
      </c>
      <c r="B139" s="1" t="s">
        <v>11</v>
      </c>
      <c r="C139" s="2">
        <v>44588</v>
      </c>
      <c r="D139" s="2">
        <v>44588</v>
      </c>
      <c r="E139" s="1" t="s">
        <v>12</v>
      </c>
      <c r="F139" s="1" t="s">
        <v>13</v>
      </c>
      <c r="G139" s="1" t="str">
        <f>IF(H139="","",IFERROR(INDEX(tblOrgs[Client Name],MATCH(H139,tblOrgs[Client ABN],0)),""))</f>
        <v>Refire Group Pty Ltd</v>
      </c>
      <c r="H139" s="1">
        <v>72633993218</v>
      </c>
    </row>
    <row r="140" spans="1:8" x14ac:dyDescent="0.25">
      <c r="A140" s="1" t="s">
        <v>184</v>
      </c>
      <c r="B140" s="1" t="s">
        <v>11</v>
      </c>
      <c r="C140" s="2">
        <v>44618</v>
      </c>
      <c r="D140" s="2">
        <v>44618</v>
      </c>
      <c r="E140" s="1" t="s">
        <v>12</v>
      </c>
      <c r="F140" s="1" t="s">
        <v>13</v>
      </c>
      <c r="G140" s="1" t="str">
        <f>IF(H140="","",IFERROR(INDEX(tblOrgs[Client Name],MATCH(H140,tblOrgs[Client ABN],0)),""))</f>
        <v>Fugen Masonry Contractors (Qld) Pty Limited</v>
      </c>
      <c r="H140" s="1">
        <v>75097686130</v>
      </c>
    </row>
    <row r="141" spans="1:8" x14ac:dyDescent="0.25">
      <c r="A141" s="1" t="s">
        <v>91</v>
      </c>
      <c r="B141" s="1" t="s">
        <v>11</v>
      </c>
      <c r="C141" s="2">
        <v>44553</v>
      </c>
      <c r="D141" s="2">
        <v>44553</v>
      </c>
      <c r="E141" s="1" t="s">
        <v>12</v>
      </c>
      <c r="F141" s="1" t="s">
        <v>13</v>
      </c>
      <c r="G141" s="1" t="str">
        <f>IF(H141="","",IFERROR(INDEX(tblOrgs[Client Name],MATCH(H141,tblOrgs[Client ABN],0)),""))</f>
        <v>Eire Midland Constructions Pty Ltd</v>
      </c>
      <c r="H141" s="1">
        <v>45079929687</v>
      </c>
    </row>
    <row r="142" spans="1:8" x14ac:dyDescent="0.25">
      <c r="A142" s="1" t="s">
        <v>209</v>
      </c>
      <c r="B142" s="1" t="s">
        <v>11</v>
      </c>
      <c r="C142" s="2">
        <v>44585</v>
      </c>
      <c r="D142" s="2">
        <v>44585</v>
      </c>
      <c r="E142" s="1" t="s">
        <v>12</v>
      </c>
      <c r="F142" s="1" t="s">
        <v>13</v>
      </c>
      <c r="G142" s="1" t="str">
        <f>IF(H142="","",IFERROR(INDEX(tblOrgs[Client Name],MATCH(H142,tblOrgs[Client ABN],0)),""))</f>
        <v>Rail Control Systems Australia Pty Ltd</v>
      </c>
      <c r="H142" s="1">
        <v>42137934055</v>
      </c>
    </row>
    <row r="143" spans="1:8" x14ac:dyDescent="0.25">
      <c r="A143" s="1" t="s">
        <v>179</v>
      </c>
      <c r="B143" s="1" t="s">
        <v>11</v>
      </c>
      <c r="C143" s="2">
        <v>44881</v>
      </c>
      <c r="D143" s="2">
        <v>44881</v>
      </c>
      <c r="E143" s="1" t="s">
        <v>12</v>
      </c>
      <c r="F143" s="1" t="s">
        <v>13</v>
      </c>
      <c r="G143" s="1" t="str">
        <f>IF(H143="","",IFERROR(INDEX(tblOrgs[Client Name],MATCH(H143,tblOrgs[Client ABN],0)),""))</f>
        <v>Evolution Group Holdings Pty Ltd</v>
      </c>
      <c r="H143" s="1">
        <v>14147834133</v>
      </c>
    </row>
    <row r="144" spans="1:8" x14ac:dyDescent="0.25">
      <c r="A144" s="1" t="s">
        <v>229</v>
      </c>
      <c r="B144" s="1" t="s">
        <v>11</v>
      </c>
      <c r="C144" s="2">
        <v>44614</v>
      </c>
      <c r="D144" s="2">
        <v>44614</v>
      </c>
      <c r="E144" s="1" t="s">
        <v>12</v>
      </c>
      <c r="F144" s="1" t="s">
        <v>13</v>
      </c>
      <c r="G144" s="1" t="str">
        <f>IF(H144="","",IFERROR(INDEX(tblOrgs[Client Name],MATCH(H144,tblOrgs[Client ABN],0)),""))</f>
        <v>Whyte Civil Pty Ltd</v>
      </c>
      <c r="H144" s="1">
        <v>34167594685</v>
      </c>
    </row>
    <row r="145" spans="1:8" x14ac:dyDescent="0.25">
      <c r="A145" s="1" t="s">
        <v>193</v>
      </c>
      <c r="B145" s="1" t="s">
        <v>11</v>
      </c>
      <c r="C145" s="2">
        <v>44614</v>
      </c>
      <c r="D145" s="2">
        <v>44614</v>
      </c>
      <c r="E145" s="1" t="s">
        <v>12</v>
      </c>
      <c r="F145" s="1" t="s">
        <v>13</v>
      </c>
      <c r="G145" s="1" t="str">
        <f>IF(H145="","",IFERROR(INDEX(tblOrgs[Client Name],MATCH(H145,tblOrgs[Client ABN],0)),""))</f>
        <v>Kenro Products Pty Ltd</v>
      </c>
      <c r="H145" s="1">
        <v>73065624295</v>
      </c>
    </row>
    <row r="146" spans="1:8" x14ac:dyDescent="0.25">
      <c r="A146" s="1" t="s">
        <v>167</v>
      </c>
      <c r="B146" s="1" t="s">
        <v>11</v>
      </c>
      <c r="C146" s="2">
        <v>44602</v>
      </c>
      <c r="D146" s="2">
        <v>44602</v>
      </c>
      <c r="E146" s="1" t="s">
        <v>12</v>
      </c>
      <c r="F146" s="1" t="s">
        <v>13</v>
      </c>
      <c r="G146" s="1" t="str">
        <f>IF(H146="","",IFERROR(INDEX(tblOrgs[Client Name],MATCH(H146,tblOrgs[Client ABN],0)),""))</f>
        <v>Chess Engineering Pty Ltd</v>
      </c>
      <c r="H146" s="1">
        <v>37000615056</v>
      </c>
    </row>
    <row r="147" spans="1:8" x14ac:dyDescent="0.25">
      <c r="A147" s="1" t="s">
        <v>151</v>
      </c>
      <c r="B147" s="1" t="s">
        <v>11</v>
      </c>
      <c r="C147" s="2">
        <v>44400</v>
      </c>
      <c r="D147" s="2">
        <v>44400</v>
      </c>
      <c r="E147" s="1" t="s">
        <v>12</v>
      </c>
      <c r="F147" s="1" t="s">
        <v>62</v>
      </c>
      <c r="G147" s="1" t="str">
        <f>IF(H147="","",IFERROR(INDEX(tblOrgs[Client Name],MATCH(H147,tblOrgs[Client ABN],0)),""))</f>
        <v>STG Pumps Pty Ltd</v>
      </c>
      <c r="H147" s="1">
        <v>61602493872</v>
      </c>
    </row>
    <row r="148" spans="1:8" x14ac:dyDescent="0.25">
      <c r="A148" s="1" t="s">
        <v>165</v>
      </c>
      <c r="B148" s="1" t="s">
        <v>11</v>
      </c>
      <c r="C148" s="2">
        <v>44628</v>
      </c>
      <c r="D148" s="2">
        <v>44628</v>
      </c>
      <c r="E148" s="1" t="s">
        <v>12</v>
      </c>
      <c r="F148" s="1" t="s">
        <v>13</v>
      </c>
      <c r="G148" s="1" t="str">
        <f>IF(H148="","",IFERROR(INDEX(tblOrgs[Client Name],MATCH(H148,tblOrgs[Client ABN],0)),""))</f>
        <v>CDC Investment Group Pty Ltd</v>
      </c>
      <c r="H148" s="1">
        <v>11158707629</v>
      </c>
    </row>
    <row r="149" spans="1:8" x14ac:dyDescent="0.25">
      <c r="A149" s="1" t="s">
        <v>158</v>
      </c>
      <c r="B149" s="1" t="s">
        <v>11</v>
      </c>
      <c r="C149" s="2">
        <v>44629</v>
      </c>
      <c r="D149" s="2">
        <v>44629</v>
      </c>
      <c r="E149" s="1" t="s">
        <v>12</v>
      </c>
      <c r="F149" s="1" t="s">
        <v>13</v>
      </c>
      <c r="G149" s="1" t="str">
        <f>IF(H149="","",IFERROR(INDEX(tblOrgs[Client Name],MATCH(H149,tblOrgs[Client ABN],0)),""))</f>
        <v>Ardee Civil Pty Ltd</v>
      </c>
      <c r="H149" s="1">
        <v>98050056105</v>
      </c>
    </row>
    <row r="150" spans="1:8" x14ac:dyDescent="0.25">
      <c r="A150" s="1" t="s">
        <v>226</v>
      </c>
      <c r="B150" s="1" t="s">
        <v>11</v>
      </c>
      <c r="C150" s="2">
        <v>44641</v>
      </c>
      <c r="D150" s="2">
        <v>44641</v>
      </c>
      <c r="E150" s="1" t="s">
        <v>12</v>
      </c>
      <c r="F150" s="1" t="s">
        <v>13</v>
      </c>
      <c r="G150" s="1" t="str">
        <f>IF(H150="","",IFERROR(INDEX(tblOrgs[Client Name],MATCH(H150,tblOrgs[Client ABN],0)),""))</f>
        <v>Wallace Concrete Pumping Pty Ltd</v>
      </c>
      <c r="H150" s="1">
        <v>49157958177</v>
      </c>
    </row>
    <row r="151" spans="1:8" x14ac:dyDescent="0.25">
      <c r="A151" s="1" t="s">
        <v>169</v>
      </c>
      <c r="B151" s="1" t="s">
        <v>11</v>
      </c>
      <c r="C151" s="2">
        <v>44641</v>
      </c>
      <c r="D151" s="2">
        <v>44641</v>
      </c>
      <c r="E151" s="1" t="s">
        <v>12</v>
      </c>
      <c r="F151" s="1" t="s">
        <v>13</v>
      </c>
      <c r="G151" s="1" t="str">
        <f>IF(H151="","",IFERROR(INDEX(tblOrgs[Client Name],MATCH(H151,tblOrgs[Client ABN],0)),""))</f>
        <v>Complete I.T.S Group Pty Ltd</v>
      </c>
      <c r="H151" s="1">
        <v>42615203800</v>
      </c>
    </row>
    <row r="152" spans="1:8" x14ac:dyDescent="0.25">
      <c r="A152" s="1" t="s">
        <v>180</v>
      </c>
      <c r="B152" s="1" t="s">
        <v>11</v>
      </c>
      <c r="C152" s="2">
        <v>44643</v>
      </c>
      <c r="D152" s="2">
        <v>44643</v>
      </c>
      <c r="E152" s="1" t="s">
        <v>12</v>
      </c>
      <c r="F152" s="1" t="s">
        <v>13</v>
      </c>
      <c r="G152" s="1" t="str">
        <f>IF(H152="","",IFERROR(INDEX(tblOrgs[Client Name],MATCH(H152,tblOrgs[Client ABN],0)),""))</f>
        <v>Fredon (Vic) Electrical Pty Ltd</v>
      </c>
      <c r="H152" s="1">
        <v>99621855025</v>
      </c>
    </row>
    <row r="153" spans="1:8" x14ac:dyDescent="0.25">
      <c r="A153" s="1" t="s">
        <v>162</v>
      </c>
      <c r="B153" s="1" t="s">
        <v>11</v>
      </c>
      <c r="C153" s="2">
        <v>44645</v>
      </c>
      <c r="D153" s="2">
        <v>44645</v>
      </c>
      <c r="E153" s="1" t="s">
        <v>12</v>
      </c>
      <c r="F153" s="1" t="s">
        <v>13</v>
      </c>
      <c r="G153" s="1" t="str">
        <f>IF(H153="","",IFERROR(INDEX(tblOrgs[Client Name],MATCH(H153,tblOrgs[Client ABN],0)),""))</f>
        <v>Avopiling Services (NSW) Pty Ltd</v>
      </c>
      <c r="H153" s="1">
        <v>11165683349</v>
      </c>
    </row>
    <row r="154" spans="1:8" x14ac:dyDescent="0.25">
      <c r="A154" s="1" t="s">
        <v>213</v>
      </c>
      <c r="B154" s="1" t="s">
        <v>11</v>
      </c>
      <c r="C154" s="2">
        <v>44648</v>
      </c>
      <c r="D154" s="2">
        <v>44648</v>
      </c>
      <c r="E154" s="1" t="s">
        <v>12</v>
      </c>
      <c r="F154" s="1" t="s">
        <v>13</v>
      </c>
      <c r="G154" s="1" t="str">
        <f>IF(H154="","",IFERROR(INDEX(tblOrgs[Client Name],MATCH(H154,tblOrgs[Client ABN],0)),""))</f>
        <v>Seadar Contractors Pty Ltd</v>
      </c>
      <c r="H154" s="1">
        <v>52600073087</v>
      </c>
    </row>
    <row r="155" spans="1:8" x14ac:dyDescent="0.25">
      <c r="A155" s="1" t="s">
        <v>223</v>
      </c>
      <c r="B155" s="1" t="s">
        <v>11</v>
      </c>
      <c r="C155" s="2">
        <v>44662</v>
      </c>
      <c r="D155" s="2">
        <v>44662</v>
      </c>
      <c r="E155" s="1" t="s">
        <v>12</v>
      </c>
      <c r="F155" s="1" t="s">
        <v>13</v>
      </c>
      <c r="G155" s="1" t="str">
        <f>IF(H155="","",IFERROR(INDEX(tblOrgs[Client Name],MATCH(H155,tblOrgs[Client ABN],0)),""))</f>
        <v>Two Way Cranes Pty Ltd</v>
      </c>
      <c r="H155" s="1">
        <v>91160983246</v>
      </c>
    </row>
    <row r="156" spans="1:8" x14ac:dyDescent="0.25">
      <c r="A156" s="1" t="s">
        <v>220</v>
      </c>
      <c r="B156" s="1" t="s">
        <v>11</v>
      </c>
      <c r="C156" s="2">
        <v>44663</v>
      </c>
      <c r="D156" s="2">
        <v>44663</v>
      </c>
      <c r="E156" s="1" t="s">
        <v>12</v>
      </c>
      <c r="F156" s="1" t="s">
        <v>13</v>
      </c>
      <c r="G156" s="1" t="str">
        <f>IF(H156="","",IFERROR(INDEX(tblOrgs[Client Name],MATCH(H156,tblOrgs[Client ABN],0)),""))</f>
        <v>T &amp; M Southern Cranes Pty Ltd</v>
      </c>
      <c r="H156" s="1">
        <v>99006697338</v>
      </c>
    </row>
    <row r="157" spans="1:8" x14ac:dyDescent="0.25">
      <c r="A157" s="1" t="s">
        <v>177</v>
      </c>
      <c r="B157" s="1" t="s">
        <v>11</v>
      </c>
      <c r="C157" s="2">
        <v>44679</v>
      </c>
      <c r="D157" s="2">
        <v>44679</v>
      </c>
      <c r="E157" s="1" t="s">
        <v>12</v>
      </c>
      <c r="F157" s="1" t="s">
        <v>13</v>
      </c>
      <c r="G157" s="1" t="str">
        <f>IF(H157="","",IFERROR(INDEX(tblOrgs[Client Name],MATCH(H157,tblOrgs[Client ABN],0)),""))</f>
        <v>Egans Plant Hire Pty Ltd</v>
      </c>
      <c r="H157" s="1">
        <v>50077737396</v>
      </c>
    </row>
    <row r="158" spans="1:8" x14ac:dyDescent="0.25">
      <c r="A158" s="1" t="s">
        <v>204</v>
      </c>
      <c r="B158" s="1" t="s">
        <v>11</v>
      </c>
      <c r="C158" s="2">
        <v>44680</v>
      </c>
      <c r="D158" s="2">
        <v>44680</v>
      </c>
      <c r="E158" s="1" t="s">
        <v>12</v>
      </c>
      <c r="F158" s="1" t="s">
        <v>13</v>
      </c>
      <c r="G158" s="1" t="str">
        <f>IF(H158="","",IFERROR(INDEX(tblOrgs[Client Name],MATCH(H158,tblOrgs[Client ABN],0)),""))</f>
        <v>Network Connex Pty Ltd</v>
      </c>
      <c r="H158" s="1">
        <v>94623690031</v>
      </c>
    </row>
    <row r="159" spans="1:8" x14ac:dyDescent="0.25">
      <c r="A159" s="1" t="s">
        <v>172</v>
      </c>
      <c r="B159" s="1" t="s">
        <v>11</v>
      </c>
      <c r="C159" s="2">
        <v>44685</v>
      </c>
      <c r="D159" s="2">
        <v>44685</v>
      </c>
      <c r="E159" s="1" t="s">
        <v>12</v>
      </c>
      <c r="F159" s="1" t="s">
        <v>13</v>
      </c>
      <c r="G159" s="1" t="str">
        <f>IF(H159="","",IFERROR(INDEX(tblOrgs[Client Name],MATCH(H159,tblOrgs[Client ABN],0)),""))</f>
        <v>Cubis Systems Australia Pty Ltd</v>
      </c>
      <c r="H159" s="1">
        <v>88108718350</v>
      </c>
    </row>
    <row r="160" spans="1:8" x14ac:dyDescent="0.25">
      <c r="A160" s="1" t="s">
        <v>228</v>
      </c>
      <c r="B160" s="1" t="s">
        <v>11</v>
      </c>
      <c r="C160" s="2">
        <v>44691</v>
      </c>
      <c r="D160" s="2">
        <v>44691</v>
      </c>
      <c r="E160" s="1" t="s">
        <v>12</v>
      </c>
      <c r="F160" s="1" t="s">
        <v>13</v>
      </c>
      <c r="G160" s="1" t="str">
        <f>IF(H160="","",IFERROR(INDEX(tblOrgs[Client Name],MATCH(H160,tblOrgs[Client ABN],0)),""))</f>
        <v>Westkon Precast Pty Ltd</v>
      </c>
      <c r="H160" s="1">
        <v>92107423156</v>
      </c>
    </row>
    <row r="161" spans="1:8" x14ac:dyDescent="0.25">
      <c r="A161" s="1" t="s">
        <v>154</v>
      </c>
      <c r="B161" s="1" t="s">
        <v>11</v>
      </c>
      <c r="C161" s="2">
        <v>44705</v>
      </c>
      <c r="D161" s="2">
        <v>44705</v>
      </c>
      <c r="E161" s="1" t="s">
        <v>12</v>
      </c>
      <c r="F161" s="1" t="s">
        <v>13</v>
      </c>
      <c r="G161" s="1" t="str">
        <f>IF(H161="","",IFERROR(INDEX(tblOrgs[Client Name],MATCH(H161,tblOrgs[Client ABN],0)),""))</f>
        <v>A C Whalan &amp; Co Pty Ltd</v>
      </c>
      <c r="H161" s="1">
        <v>90003499849</v>
      </c>
    </row>
    <row r="162" spans="1:8" x14ac:dyDescent="0.25">
      <c r="A162" s="1" t="s">
        <v>171</v>
      </c>
      <c r="B162" s="1" t="s">
        <v>11</v>
      </c>
      <c r="C162" s="2">
        <v>44712</v>
      </c>
      <c r="D162" s="2">
        <v>44712</v>
      </c>
      <c r="E162" s="1" t="s">
        <v>12</v>
      </c>
      <c r="F162" s="1" t="s">
        <v>13</v>
      </c>
      <c r="G162" s="1" t="str">
        <f>IF(H162="","",IFERROR(INDEX(tblOrgs[Client Name],MATCH(H162,tblOrgs[Client ABN],0)),""))</f>
        <v>CSA Specialised Services Pty Ltd</v>
      </c>
      <c r="H162" s="1">
        <v>11757908807</v>
      </c>
    </row>
    <row r="163" spans="1:8" x14ac:dyDescent="0.25">
      <c r="A163" s="1" t="s">
        <v>189</v>
      </c>
      <c r="B163" s="1" t="s">
        <v>11</v>
      </c>
      <c r="C163" s="2">
        <v>44867</v>
      </c>
      <c r="D163" s="2">
        <v>44867</v>
      </c>
      <c r="E163" s="1" t="s">
        <v>12</v>
      </c>
      <c r="F163" s="1" t="s">
        <v>13</v>
      </c>
      <c r="G163" s="1" t="str">
        <f>IF(H163="","",IFERROR(INDEX(tblOrgs[Client Name],MATCH(H163,tblOrgs[Client ABN],0)),""))</f>
        <v>Holcim (Australia) Pty Ltd</v>
      </c>
      <c r="H163" s="1">
        <v>87099732297</v>
      </c>
    </row>
    <row r="164" spans="1:8" x14ac:dyDescent="0.25">
      <c r="A164" s="1" t="s">
        <v>156</v>
      </c>
      <c r="B164" s="1" t="s">
        <v>11</v>
      </c>
      <c r="C164" s="2">
        <v>44726</v>
      </c>
      <c r="D164" s="2">
        <v>44726</v>
      </c>
      <c r="E164" s="1" t="s">
        <v>12</v>
      </c>
      <c r="F164" s="1" t="s">
        <v>13</v>
      </c>
      <c r="G164" s="1" t="str">
        <f>IF(H164="","",IFERROR(INDEX(tblOrgs[Client Name],MATCH(H164,tblOrgs[Client ABN],0)),""))</f>
        <v>Abyss Construction Pty Ltd</v>
      </c>
      <c r="H164" s="1">
        <v>50614066223</v>
      </c>
    </row>
    <row r="165" spans="1:8" x14ac:dyDescent="0.25">
      <c r="A165" s="1" t="s">
        <v>197</v>
      </c>
      <c r="B165" s="1" t="s">
        <v>11</v>
      </c>
      <c r="C165" s="2">
        <v>44746</v>
      </c>
      <c r="D165" s="2">
        <v>44746</v>
      </c>
      <c r="E165" s="1" t="s">
        <v>12</v>
      </c>
      <c r="F165" s="1" t="s">
        <v>13</v>
      </c>
      <c r="G165" s="1" t="str">
        <f>IF(H165="","",IFERROR(INDEX(tblOrgs[Client Name],MATCH(H165,tblOrgs[Client ABN],0)),""))</f>
        <v>Made Contracting Pty Ltd</v>
      </c>
      <c r="H165" s="1">
        <v>98082765697</v>
      </c>
    </row>
    <row r="166" spans="1:8" x14ac:dyDescent="0.25">
      <c r="A166" s="1" t="s">
        <v>174</v>
      </c>
      <c r="B166" s="1" t="s">
        <v>11</v>
      </c>
      <c r="C166" s="2">
        <v>44749</v>
      </c>
      <c r="D166" s="2">
        <v>44749</v>
      </c>
      <c r="E166" s="1" t="s">
        <v>12</v>
      </c>
      <c r="F166" s="1" t="s">
        <v>13</v>
      </c>
      <c r="G166" s="1" t="str">
        <f>IF(H166="","",IFERROR(INDEX(tblOrgs[Client Name],MATCH(H166,tblOrgs[Client ABN],0)),""))</f>
        <v>Downer PipeTech Pty Ltd</v>
      </c>
      <c r="H166" s="1">
        <v>49115288527</v>
      </c>
    </row>
    <row r="167" spans="1:8" x14ac:dyDescent="0.25">
      <c r="A167" s="1" t="s">
        <v>206</v>
      </c>
      <c r="B167" s="1" t="s">
        <v>11</v>
      </c>
      <c r="C167" s="2">
        <v>44747</v>
      </c>
      <c r="D167" s="2">
        <v>44747</v>
      </c>
      <c r="E167" s="1" t="s">
        <v>12</v>
      </c>
      <c r="F167" s="1" t="s">
        <v>13</v>
      </c>
      <c r="G167" s="1" t="str">
        <f>IF(H167="","",IFERROR(INDEX(tblOrgs[Client Name],MATCH(H167,tblOrgs[Client ABN],0)),""))</f>
        <v>Pressure Works Pty Ltd</v>
      </c>
      <c r="H167" s="1">
        <v>94365883835</v>
      </c>
    </row>
    <row r="168" spans="1:8" x14ac:dyDescent="0.25">
      <c r="A168" s="1" t="s">
        <v>196</v>
      </c>
      <c r="B168" s="1" t="s">
        <v>11</v>
      </c>
      <c r="C168" s="2">
        <v>44752</v>
      </c>
      <c r="D168" s="2">
        <v>44752</v>
      </c>
      <c r="E168" s="1" t="s">
        <v>12</v>
      </c>
      <c r="F168" s="1" t="s">
        <v>13</v>
      </c>
      <c r="G168" s="1" t="str">
        <f>IF(H168="","",IFERROR(INDEX(tblOrgs[Client Name],MATCH(H168,tblOrgs[Client ABN],0)),""))</f>
        <v>Maas Group Holdings</v>
      </c>
      <c r="H168" s="1">
        <v>84632994542</v>
      </c>
    </row>
    <row r="169" spans="1:8" x14ac:dyDescent="0.25">
      <c r="A169" s="1" t="s">
        <v>218</v>
      </c>
      <c r="B169" s="1" t="s">
        <v>11</v>
      </c>
      <c r="C169" s="2">
        <v>44756</v>
      </c>
      <c r="D169" s="2">
        <v>44756</v>
      </c>
      <c r="E169" s="1" t="s">
        <v>12</v>
      </c>
      <c r="F169" s="1" t="s">
        <v>13</v>
      </c>
      <c r="G169" s="1" t="str">
        <f>IF(H169="","",IFERROR(INDEX(tblOrgs[Client Name],MATCH(H169,tblOrgs[Client ABN],0)),""))</f>
        <v>SweepNKleen Road Sweeping Services Pty Ltd</v>
      </c>
      <c r="H169" s="1">
        <v>73634522946</v>
      </c>
    </row>
    <row r="170" spans="1:8" x14ac:dyDescent="0.25">
      <c r="A170" s="1" t="s">
        <v>163</v>
      </c>
      <c r="B170" s="1" t="s">
        <v>11</v>
      </c>
      <c r="C170" s="2">
        <v>44742</v>
      </c>
      <c r="D170" s="2">
        <v>44742</v>
      </c>
      <c r="E170" s="1" t="s">
        <v>12</v>
      </c>
      <c r="F170" s="1" t="s">
        <v>13</v>
      </c>
      <c r="G170" s="1" t="str">
        <f>IF(H170="","",IFERROR(INDEX(tblOrgs[Client Name],MATCH(H170,tblOrgs[Client ABN],0)),""))</f>
        <v>Barlina Pty Ltd</v>
      </c>
      <c r="H170" s="1">
        <v>40078243526</v>
      </c>
    </row>
    <row r="171" spans="1:8" x14ac:dyDescent="0.25">
      <c r="A171" s="1" t="s">
        <v>159</v>
      </c>
      <c r="B171" s="1" t="s">
        <v>11</v>
      </c>
      <c r="C171" s="2">
        <v>44764</v>
      </c>
      <c r="D171" s="2">
        <v>44764</v>
      </c>
      <c r="E171" s="1" t="s">
        <v>12</v>
      </c>
      <c r="F171" s="1" t="s">
        <v>13</v>
      </c>
      <c r="G171" s="1" t="str">
        <f>IF(H171="","",IFERROR(INDEX(tblOrgs[Client Name],MATCH(H171,tblOrgs[Client ABN],0)),""))</f>
        <v>Ash (Vic) Pty Ltd</v>
      </c>
      <c r="H171" s="1">
        <v>29115372613</v>
      </c>
    </row>
    <row r="172" spans="1:8" x14ac:dyDescent="0.25">
      <c r="A172" s="1" t="s">
        <v>187</v>
      </c>
      <c r="B172" s="1" t="s">
        <v>11</v>
      </c>
      <c r="C172" s="2">
        <v>44784</v>
      </c>
      <c r="D172" s="2">
        <v>44784</v>
      </c>
      <c r="E172" s="1" t="s">
        <v>12</v>
      </c>
      <c r="F172" s="1" t="s">
        <v>13</v>
      </c>
      <c r="G172" s="1" t="str">
        <f>IF(H172="","",IFERROR(INDEX(tblOrgs[Client Name],MATCH(H172,tblOrgs[Client ABN],0)),""))</f>
        <v>HL Landscapes Pty Ltd</v>
      </c>
      <c r="H172" s="1">
        <v>92119886734</v>
      </c>
    </row>
    <row r="173" spans="1:8" x14ac:dyDescent="0.25">
      <c r="A173" s="1" t="s">
        <v>176</v>
      </c>
      <c r="B173" s="1" t="s">
        <v>11</v>
      </c>
      <c r="C173" s="2">
        <v>44787</v>
      </c>
      <c r="D173" s="2">
        <v>44787</v>
      </c>
      <c r="E173" s="1" t="s">
        <v>12</v>
      </c>
      <c r="F173" s="1" t="s">
        <v>13</v>
      </c>
      <c r="G173" s="1" t="str">
        <f>IF(H173="","",IFERROR(INDEX(tblOrgs[Client Name],MATCH(H173,tblOrgs[Client ABN],0)),""))</f>
        <v>Earthtek Excavations Pty Ltd</v>
      </c>
      <c r="H173" s="1">
        <v>54090536575</v>
      </c>
    </row>
    <row r="174" spans="1:8" x14ac:dyDescent="0.25">
      <c r="A174" s="1" t="s">
        <v>230</v>
      </c>
      <c r="B174" s="1" t="s">
        <v>11</v>
      </c>
      <c r="C174" s="2">
        <v>44787</v>
      </c>
      <c r="D174" s="2">
        <v>44787</v>
      </c>
      <c r="E174" s="1" t="s">
        <v>12</v>
      </c>
      <c r="F174" s="1" t="s">
        <v>62</v>
      </c>
      <c r="G174" s="1" t="str">
        <f>IF(H174="","",IFERROR(INDEX(tblOrgs[Client Name],MATCH(H174,tblOrgs[Client ABN],0)),""))</f>
        <v>Earthtek Excavations Pty Ltd</v>
      </c>
      <c r="H174" s="1">
        <v>54090536575</v>
      </c>
    </row>
    <row r="175" spans="1:8" x14ac:dyDescent="0.25">
      <c r="A175" s="1" t="s">
        <v>175</v>
      </c>
      <c r="B175" s="1" t="s">
        <v>11</v>
      </c>
      <c r="C175" s="2">
        <v>44803</v>
      </c>
      <c r="D175" s="2">
        <v>44803</v>
      </c>
      <c r="E175" s="1" t="s">
        <v>12</v>
      </c>
      <c r="F175" s="1" t="s">
        <v>13</v>
      </c>
      <c r="G175" s="1" t="str">
        <f>IF(H175="","",IFERROR(INDEX(tblOrgs[Client Name],MATCH(H175,tblOrgs[Client ABN],0)),""))</f>
        <v>Durkin Construction Pty Ltd</v>
      </c>
      <c r="H175" s="1">
        <v>73615246118</v>
      </c>
    </row>
    <row r="176" spans="1:8" x14ac:dyDescent="0.25">
      <c r="A176" s="1" t="s">
        <v>198</v>
      </c>
      <c r="B176" s="1" t="s">
        <v>11</v>
      </c>
      <c r="C176" s="2">
        <v>44751</v>
      </c>
      <c r="D176" s="2">
        <v>44751</v>
      </c>
      <c r="E176" s="1" t="s">
        <v>12</v>
      </c>
      <c r="F176" s="1" t="s">
        <v>13</v>
      </c>
      <c r="G176" s="1" t="str">
        <f>IF(H176="","",IFERROR(INDEX(tblOrgs[Client Name],MATCH(H176,tblOrgs[Client ABN],0)),""))</f>
        <v>Mansell Premix Pty Ltd</v>
      </c>
      <c r="H176" s="1">
        <v>11124779148</v>
      </c>
    </row>
    <row r="177" spans="1:8" x14ac:dyDescent="0.25">
      <c r="A177" s="1" t="s">
        <v>195</v>
      </c>
      <c r="B177" s="1" t="s">
        <v>11</v>
      </c>
      <c r="C177" s="2">
        <v>44747</v>
      </c>
      <c r="D177" s="2">
        <v>44747</v>
      </c>
      <c r="E177" s="1" t="s">
        <v>12</v>
      </c>
      <c r="F177" s="1" t="s">
        <v>13</v>
      </c>
      <c r="G177" s="1" t="str">
        <f>IF(H177="","",IFERROR(INDEX(tblOrgs[Client Name],MATCH(H177,tblOrgs[Client ABN],0)),""))</f>
        <v>LJ &amp; LJ Pty Ltd</v>
      </c>
      <c r="H177" s="1">
        <v>33612534442</v>
      </c>
    </row>
    <row r="178" spans="1:8" x14ac:dyDescent="0.25">
      <c r="A178" s="1" t="s">
        <v>161</v>
      </c>
      <c r="B178" s="1" t="s">
        <v>11</v>
      </c>
      <c r="C178" s="2">
        <v>44802</v>
      </c>
      <c r="D178" s="2">
        <v>44802</v>
      </c>
      <c r="E178" s="1" t="s">
        <v>12</v>
      </c>
      <c r="F178" s="1" t="s">
        <v>13</v>
      </c>
      <c r="G178" s="1" t="str">
        <f>IF(H178="","",IFERROR(INDEX(tblOrgs[Client Name],MATCH(H178,tblOrgs[Client ABN],0)),""))</f>
        <v>Australian Weighing Equipment Pty Ltd</v>
      </c>
      <c r="H178" s="1">
        <v>74002940301</v>
      </c>
    </row>
    <row r="179" spans="1:8" x14ac:dyDescent="0.25">
      <c r="A179" s="1" t="s">
        <v>199</v>
      </c>
      <c r="B179" s="1" t="s">
        <v>11</v>
      </c>
      <c r="C179" s="2">
        <v>44802</v>
      </c>
      <c r="D179" s="2">
        <v>44802</v>
      </c>
      <c r="E179" s="1" t="s">
        <v>12</v>
      </c>
      <c r="F179" s="1" t="s">
        <v>13</v>
      </c>
      <c r="G179" s="1" t="str">
        <f>IF(H179="","",IFERROR(INDEX(tblOrgs[Client Name],MATCH(H179,tblOrgs[Client ABN],0)),""))</f>
        <v>Marr Contracting Pty Ltd</v>
      </c>
      <c r="H179" s="1">
        <v>72001231607</v>
      </c>
    </row>
    <row r="180" spans="1:8" x14ac:dyDescent="0.25">
      <c r="A180" s="1" t="s">
        <v>185</v>
      </c>
      <c r="B180" s="1" t="s">
        <v>11</v>
      </c>
      <c r="C180" s="2">
        <v>44803</v>
      </c>
      <c r="D180" s="2">
        <v>44803</v>
      </c>
      <c r="E180" s="1" t="s">
        <v>12</v>
      </c>
      <c r="F180" s="1" t="s">
        <v>13</v>
      </c>
      <c r="G180" s="1" t="str">
        <f>IF(H180="","",IFERROR(INDEX(tblOrgs[Client Name],MATCH(H180,tblOrgs[Client ABN],0)),""))</f>
        <v>Gillies Civil Pty Ltd</v>
      </c>
      <c r="H180" s="1">
        <v>31475957719</v>
      </c>
    </row>
    <row r="181" spans="1:8" x14ac:dyDescent="0.25">
      <c r="A181" s="1" t="s">
        <v>182</v>
      </c>
      <c r="B181" s="1" t="s">
        <v>11</v>
      </c>
      <c r="C181" s="2">
        <v>44811</v>
      </c>
      <c r="D181" s="2">
        <v>44811</v>
      </c>
      <c r="E181" s="1" t="s">
        <v>12</v>
      </c>
      <c r="F181" s="1" t="s">
        <v>13</v>
      </c>
      <c r="G181" s="1" t="str">
        <f>IF(H181="","",IFERROR(INDEX(tblOrgs[Client Name],MATCH(H181,tblOrgs[Client ABN],0)),""))</f>
        <v>Fresh Start Australia Pty Ltd</v>
      </c>
      <c r="H181" s="1">
        <v>77617764011</v>
      </c>
    </row>
    <row r="182" spans="1:8" x14ac:dyDescent="0.25">
      <c r="A182" s="1" t="s">
        <v>217</v>
      </c>
      <c r="B182" s="1" t="s">
        <v>11</v>
      </c>
      <c r="C182" s="2">
        <v>44765</v>
      </c>
      <c r="D182" s="2">
        <v>44765</v>
      </c>
      <c r="E182" s="1" t="s">
        <v>12</v>
      </c>
      <c r="F182" s="1" t="s">
        <v>13</v>
      </c>
      <c r="G182" s="1" t="str">
        <f>IF(H182="","",IFERROR(INDEX(tblOrgs[Client Name],MATCH(H182,tblOrgs[Client ABN],0)),""))</f>
        <v>STG Pumps Pty Ltd</v>
      </c>
      <c r="H182" s="1">
        <v>61602493872</v>
      </c>
    </row>
    <row r="183" spans="1:8" x14ac:dyDescent="0.25">
      <c r="A183" s="1" t="s">
        <v>231</v>
      </c>
      <c r="B183" s="1" t="s">
        <v>11</v>
      </c>
      <c r="C183" s="2">
        <v>44765</v>
      </c>
      <c r="D183" s="2">
        <v>44765</v>
      </c>
      <c r="E183" s="1" t="s">
        <v>12</v>
      </c>
      <c r="F183" s="1" t="s">
        <v>62</v>
      </c>
      <c r="G183" s="1" t="str">
        <f>IF(H183="","",IFERROR(INDEX(tblOrgs[Client Name],MATCH(H183,tblOrgs[Client ABN],0)),""))</f>
        <v>STG Pumps Pty Ltd</v>
      </c>
      <c r="H183" s="1">
        <v>61602493872</v>
      </c>
    </row>
    <row r="184" spans="1:8" x14ac:dyDescent="0.25">
      <c r="A184" s="1" t="s">
        <v>203</v>
      </c>
      <c r="B184" s="1" t="s">
        <v>11</v>
      </c>
      <c r="C184" s="2">
        <v>44811</v>
      </c>
      <c r="D184" s="2">
        <v>44811</v>
      </c>
      <c r="E184" s="1" t="s">
        <v>12</v>
      </c>
      <c r="F184" s="1" t="s">
        <v>13</v>
      </c>
      <c r="G184" s="1" t="str">
        <f>IF(H184="","",IFERROR(INDEX(tblOrgs[Client Name],MATCH(H184,tblOrgs[Client ABN],0)),""))</f>
        <v>Neilsens Holdings Pty Ltd</v>
      </c>
      <c r="H184" s="1">
        <v>92009940989</v>
      </c>
    </row>
    <row r="185" spans="1:8" x14ac:dyDescent="0.25">
      <c r="A185" s="1" t="s">
        <v>215</v>
      </c>
      <c r="B185" s="1" t="s">
        <v>11</v>
      </c>
      <c r="C185" s="2">
        <v>44823</v>
      </c>
      <c r="D185" s="2">
        <v>44823</v>
      </c>
      <c r="E185" s="1" t="s">
        <v>12</v>
      </c>
      <c r="F185" s="1" t="s">
        <v>13</v>
      </c>
      <c r="G185" s="1" t="str">
        <f>IF(H185="","",IFERROR(INDEX(tblOrgs[Client Name],MATCH(H185,tblOrgs[Client ABN],0)),""))</f>
        <v>Speno Rail Maintenance Australia Pty Ltd</v>
      </c>
      <c r="H185" s="1">
        <v>30009206722</v>
      </c>
    </row>
    <row r="186" spans="1:8" x14ac:dyDescent="0.25">
      <c r="A186" s="1" t="s">
        <v>186</v>
      </c>
      <c r="B186" s="1" t="s">
        <v>11</v>
      </c>
      <c r="C186" s="2">
        <v>44837</v>
      </c>
      <c r="D186" s="2">
        <v>44837</v>
      </c>
      <c r="E186" s="1" t="s">
        <v>12</v>
      </c>
      <c r="F186" s="1" t="s">
        <v>13</v>
      </c>
      <c r="G186" s="1" t="str">
        <f>IF(H186="","",IFERROR(INDEX(tblOrgs[Client Name],MATCH(H186,tblOrgs[Client ABN],0)),""))</f>
        <v>GVP Fabricators Pty Ltd</v>
      </c>
      <c r="H186" s="1">
        <v>59082132394</v>
      </c>
    </row>
    <row r="187" spans="1:8" x14ac:dyDescent="0.25">
      <c r="A187" s="1" t="s">
        <v>168</v>
      </c>
      <c r="B187" s="1" t="s">
        <v>11</v>
      </c>
      <c r="C187" s="2">
        <v>44838</v>
      </c>
      <c r="D187" s="2">
        <v>44838</v>
      </c>
      <c r="E187" s="1" t="s">
        <v>12</v>
      </c>
      <c r="F187" s="1" t="s">
        <v>13</v>
      </c>
      <c r="G187" s="1" t="str">
        <f>IF(H187="","",IFERROR(INDEX(tblOrgs[Client Name],MATCH(H187,tblOrgs[Client ABN],0)),""))</f>
        <v>Coates Hire Operations Pty Limited</v>
      </c>
      <c r="H187" s="1">
        <v>99074126971</v>
      </c>
    </row>
    <row r="188" spans="1:8" x14ac:dyDescent="0.25">
      <c r="A188" s="1" t="s">
        <v>183</v>
      </c>
      <c r="B188" s="1" t="s">
        <v>11</v>
      </c>
      <c r="C188" s="2">
        <v>44838</v>
      </c>
      <c r="D188" s="2">
        <v>44838</v>
      </c>
      <c r="E188" s="1" t="s">
        <v>12</v>
      </c>
      <c r="F188" s="1" t="s">
        <v>13</v>
      </c>
      <c r="G188" s="1" t="str">
        <f>IF(H188="","",IFERROR(INDEX(tblOrgs[Client Name],MATCH(H188,tblOrgs[Client ABN],0)),""))</f>
        <v>Freyssinet Australia Pty Ltd</v>
      </c>
      <c r="H188" s="1">
        <v>15002617736</v>
      </c>
    </row>
    <row r="189" spans="1:8" x14ac:dyDescent="0.25">
      <c r="A189" s="1" t="s">
        <v>224</v>
      </c>
      <c r="B189" s="1" t="s">
        <v>11</v>
      </c>
      <c r="C189" s="2">
        <v>44841</v>
      </c>
      <c r="D189" s="2">
        <v>44841</v>
      </c>
      <c r="E189" s="1" t="s">
        <v>12</v>
      </c>
      <c r="F189" s="1" t="s">
        <v>13</v>
      </c>
      <c r="G189" s="1" t="str">
        <f>IF(H189="","",IFERROR(INDEX(tblOrgs[Client Name],MATCH(H189,tblOrgs[Client ABN],0)),""))</f>
        <v>Vaughan Civil Pty Ltd</v>
      </c>
      <c r="H189" s="1">
        <v>50152638447</v>
      </c>
    </row>
    <row r="190" spans="1:8" x14ac:dyDescent="0.25">
      <c r="A190" s="1" t="s">
        <v>173</v>
      </c>
      <c r="B190" s="1" t="s">
        <v>11</v>
      </c>
      <c r="C190" s="2">
        <v>44786</v>
      </c>
      <c r="D190" s="2">
        <v>44786</v>
      </c>
      <c r="E190" s="1" t="s">
        <v>12</v>
      </c>
      <c r="F190" s="1" t="s">
        <v>13</v>
      </c>
      <c r="G190" s="1" t="str">
        <f>IF(H190="","",IFERROR(INDEX(tblOrgs[Client Name],MATCH(H190,tblOrgs[Client ABN],0)),""))</f>
        <v>Dalyâ€™s Constructions (Aust) Pty Ltd</v>
      </c>
      <c r="H190" s="1">
        <v>74091546735</v>
      </c>
    </row>
    <row r="191" spans="1:8" x14ac:dyDescent="0.25">
      <c r="A191" s="1" t="s">
        <v>208</v>
      </c>
      <c r="B191" s="1" t="s">
        <v>11</v>
      </c>
      <c r="C191" s="2">
        <v>44854</v>
      </c>
      <c r="D191" s="2">
        <v>44854</v>
      </c>
      <c r="E191" s="1" t="s">
        <v>12</v>
      </c>
      <c r="F191" s="1" t="s">
        <v>13</v>
      </c>
      <c r="G191" s="1" t="str">
        <f>IF(H191="","",IFERROR(INDEX(tblOrgs[Client Name],MATCH(H191,tblOrgs[Client ABN],0)),""))</f>
        <v>Queensland Pre-Stressing Pty Ltd</v>
      </c>
      <c r="H191" s="1">
        <v>95063541873</v>
      </c>
    </row>
    <row r="192" spans="1:8" x14ac:dyDescent="0.25">
      <c r="A192" s="1" t="s">
        <v>164</v>
      </c>
      <c r="B192" s="1" t="s">
        <v>11</v>
      </c>
      <c r="C192" s="2">
        <v>44755</v>
      </c>
      <c r="D192" s="2">
        <v>44755</v>
      </c>
      <c r="E192" s="1" t="s">
        <v>12</v>
      </c>
      <c r="F192" s="1" t="s">
        <v>13</v>
      </c>
      <c r="G192" s="1" t="str">
        <f>IF(H192="","",IFERROR(INDEX(tblOrgs[Client Name],MATCH(H192,tblOrgs[Client ABN],0)),""))</f>
        <v>Brent Young Cranes Pty Ltd</v>
      </c>
      <c r="H192" s="1">
        <v>74795954655</v>
      </c>
    </row>
    <row r="193" spans="1:8" x14ac:dyDescent="0.25">
      <c r="A193" s="1" t="s">
        <v>155</v>
      </c>
      <c r="B193" s="1" t="s">
        <v>11</v>
      </c>
      <c r="C193" s="2">
        <v>44853</v>
      </c>
      <c r="D193" s="2">
        <v>44853</v>
      </c>
      <c r="E193" s="1" t="s">
        <v>12</v>
      </c>
      <c r="F193" s="1" t="s">
        <v>13</v>
      </c>
      <c r="G193" s="1" t="str">
        <f>IF(H193="","",IFERROR(INDEX(tblOrgs[Client Name],MATCH(H193,tblOrgs[Client ABN],0)),""))</f>
        <v>Above Scaffolding Pty Ltd</v>
      </c>
      <c r="H193" s="1">
        <v>74073575201</v>
      </c>
    </row>
    <row r="194" spans="1:8" x14ac:dyDescent="0.25">
      <c r="A194" s="1" t="s">
        <v>205</v>
      </c>
      <c r="B194" s="1" t="s">
        <v>11</v>
      </c>
      <c r="C194" s="2">
        <v>44853</v>
      </c>
      <c r="D194" s="2">
        <v>44853</v>
      </c>
      <c r="E194" s="1" t="s">
        <v>12</v>
      </c>
      <c r="F194" s="1" t="s">
        <v>13</v>
      </c>
      <c r="G194" s="1" t="str">
        <f>IF(H194="","",IFERROR(INDEX(tblOrgs[Client Name],MATCH(H194,tblOrgs[Client ABN],0)),""))</f>
        <v>Online Fire &amp; Security Pty Ltd</v>
      </c>
      <c r="H194" s="1">
        <v>70147790261</v>
      </c>
    </row>
    <row r="195" spans="1:8" x14ac:dyDescent="0.25">
      <c r="A195" s="1" t="s">
        <v>192</v>
      </c>
      <c r="B195" s="1" t="s">
        <v>11</v>
      </c>
      <c r="C195" s="2">
        <v>44856</v>
      </c>
      <c r="D195" s="2">
        <v>44856</v>
      </c>
      <c r="E195" s="1" t="s">
        <v>12</v>
      </c>
      <c r="F195" s="1" t="s">
        <v>13</v>
      </c>
      <c r="G195" s="1" t="str">
        <f>IF(H195="","",IFERROR(INDEX(tblOrgs[Client Name],MATCH(H195,tblOrgs[Client ABN],0)),""))</f>
        <v>Kenny Constructions (Aust.) Pty. Limited</v>
      </c>
      <c r="H195" s="1">
        <v>74096169416</v>
      </c>
    </row>
    <row r="196" spans="1:8" x14ac:dyDescent="0.25">
      <c r="A196" s="1" t="s">
        <v>222</v>
      </c>
      <c r="B196" s="1" t="s">
        <v>11</v>
      </c>
      <c r="C196" s="2">
        <v>44857</v>
      </c>
      <c r="D196" s="2">
        <v>44857</v>
      </c>
      <c r="E196" s="1" t="s">
        <v>12</v>
      </c>
      <c r="F196" s="1" t="s">
        <v>13</v>
      </c>
      <c r="G196" s="1" t="str">
        <f>IF(H196="","",IFERROR(INDEX(tblOrgs[Client Name],MATCH(H196,tblOrgs[Client ABN],0)),""))</f>
        <v>Tutt Bryant Group Limited</v>
      </c>
      <c r="H196" s="1">
        <v>89009242675</v>
      </c>
    </row>
    <row r="197" spans="1:8" x14ac:dyDescent="0.25">
      <c r="A197" s="1" t="s">
        <v>166</v>
      </c>
      <c r="B197" s="1" t="s">
        <v>11</v>
      </c>
      <c r="C197" s="2">
        <v>44859</v>
      </c>
      <c r="D197" s="2">
        <v>44859</v>
      </c>
      <c r="E197" s="1" t="s">
        <v>12</v>
      </c>
      <c r="F197" s="1" t="s">
        <v>13</v>
      </c>
      <c r="G197" s="1" t="str">
        <f>IF(H197="","",IFERROR(INDEX(tblOrgs[Client Name],MATCH(H197,tblOrgs[Client ABN],0)),""))</f>
        <v>Challenge Civil Group Pty Ltd</v>
      </c>
      <c r="H197" s="1">
        <v>34155134795</v>
      </c>
    </row>
    <row r="198" spans="1:8" x14ac:dyDescent="0.25">
      <c r="A198" s="1" t="s">
        <v>191</v>
      </c>
      <c r="B198" s="1" t="s">
        <v>11</v>
      </c>
      <c r="C198" s="2">
        <v>44866</v>
      </c>
      <c r="D198" s="2">
        <v>44866</v>
      </c>
      <c r="E198" s="1" t="s">
        <v>12</v>
      </c>
      <c r="F198" s="1" t="s">
        <v>13</v>
      </c>
      <c r="G198" s="1" t="str">
        <f>IF(H198="","",IFERROR(INDEX(tblOrgs[Client Name],MATCH(H198,tblOrgs[Client ABN],0)),""))</f>
        <v>Kangaroo Transport &amp; Haulage Pty Ltd</v>
      </c>
      <c r="H198" s="1">
        <v>86629168985</v>
      </c>
    </row>
    <row r="199" spans="1:8" x14ac:dyDescent="0.25">
      <c r="A199" s="1" t="s">
        <v>188</v>
      </c>
      <c r="B199" s="1" t="s">
        <v>11</v>
      </c>
      <c r="C199" s="2">
        <v>44719</v>
      </c>
      <c r="D199" s="2">
        <v>44719</v>
      </c>
      <c r="E199" s="1" t="s">
        <v>12</v>
      </c>
      <c r="F199" s="1" t="s">
        <v>13</v>
      </c>
      <c r="G199" s="1" t="str">
        <f>IF(H199="","",IFERROR(INDEX(tblOrgs[Client Name],MATCH(H199,tblOrgs[Client ABN],0)),""))</f>
        <v>Holcim (Australia) Pty Ltd</v>
      </c>
      <c r="H199" s="1">
        <v>87099732297</v>
      </c>
    </row>
    <row r="200" spans="1:8" x14ac:dyDescent="0.25">
      <c r="A200" s="1" t="s">
        <v>216</v>
      </c>
      <c r="B200" s="1" t="s">
        <v>11</v>
      </c>
      <c r="C200" s="2">
        <v>44867</v>
      </c>
      <c r="D200" s="2">
        <v>44867</v>
      </c>
      <c r="E200" s="1" t="s">
        <v>12</v>
      </c>
      <c r="F200" s="1" t="s">
        <v>13</v>
      </c>
      <c r="G200" s="1" t="str">
        <f>IF(H200="","",IFERROR(INDEX(tblOrgs[Client Name],MATCH(H200,tblOrgs[Client ABN],0)),""))</f>
        <v>Stephens Plant Hire Pty Ltd</v>
      </c>
      <c r="H200" s="1">
        <v>41612483011</v>
      </c>
    </row>
    <row r="201" spans="1:8" x14ac:dyDescent="0.25">
      <c r="A201" s="1" t="s">
        <v>211</v>
      </c>
      <c r="B201" s="1" t="s">
        <v>11</v>
      </c>
      <c r="C201" s="2">
        <v>44872</v>
      </c>
      <c r="D201" s="2">
        <v>44872</v>
      </c>
      <c r="E201" s="1" t="s">
        <v>12</v>
      </c>
      <c r="F201" s="1" t="s">
        <v>13</v>
      </c>
      <c r="G201" s="1" t="str">
        <f>IF(H201="","",IFERROR(INDEX(tblOrgs[Client Name],MATCH(H201,tblOrgs[Client ABN],0)),""))</f>
        <v>Reinforced Earth Pty Ltd</v>
      </c>
      <c r="H201" s="1">
        <v>53001215327</v>
      </c>
    </row>
    <row r="202" spans="1:8" x14ac:dyDescent="0.25">
      <c r="A202" s="1" t="s">
        <v>200</v>
      </c>
      <c r="B202" s="1" t="s">
        <v>11</v>
      </c>
      <c r="C202" s="2">
        <v>44587</v>
      </c>
      <c r="D202" s="2">
        <v>44587</v>
      </c>
      <c r="E202" s="1" t="s">
        <v>12</v>
      </c>
      <c r="F202" s="1" t="s">
        <v>13</v>
      </c>
      <c r="G202" s="1" t="str">
        <f>IF(H202="","",IFERROR(INDEX(tblOrgs[Client Name],MATCH(H202,tblOrgs[Client ABN],0)),""))</f>
        <v>Mataniel Laurate Pty Ltd</v>
      </c>
      <c r="H202" s="1">
        <v>37094906028</v>
      </c>
    </row>
    <row r="203" spans="1:8" x14ac:dyDescent="0.25">
      <c r="A203" s="1" t="s">
        <v>153</v>
      </c>
      <c r="B203" s="1" t="s">
        <v>11</v>
      </c>
      <c r="C203" s="2">
        <v>44886</v>
      </c>
      <c r="D203" s="2">
        <v>44886</v>
      </c>
      <c r="E203" s="1" t="s">
        <v>12</v>
      </c>
      <c r="F203" s="1" t="s">
        <v>13</v>
      </c>
      <c r="G203" s="1" t="str">
        <f>IF(H203="","",IFERROR(INDEX(tblOrgs[Client Name],MATCH(H203,tblOrgs[Client ABN],0)),""))</f>
        <v>24/7 Fuels Pty Ltd</v>
      </c>
      <c r="H203" s="1">
        <v>17613791512</v>
      </c>
    </row>
    <row r="204" spans="1:8" x14ac:dyDescent="0.25">
      <c r="A204" s="1" t="s">
        <v>178</v>
      </c>
      <c r="B204" s="1" t="s">
        <v>11</v>
      </c>
      <c r="C204" s="2">
        <v>44609</v>
      </c>
      <c r="D204" s="2">
        <v>44609</v>
      </c>
      <c r="E204" s="1" t="s">
        <v>12</v>
      </c>
      <c r="F204" s="1" t="s">
        <v>13</v>
      </c>
      <c r="G204" s="1" t="str">
        <f>IF(H204="","",IFERROR(INDEX(tblOrgs[Client Name],MATCH(H204,tblOrgs[Client ABN],0)),""))</f>
        <v>Evolution Group Holdings Pty Ltd</v>
      </c>
      <c r="H204" s="1">
        <v>14147834133</v>
      </c>
    </row>
    <row r="205" spans="1:8" x14ac:dyDescent="0.25">
      <c r="A205" s="1" t="s">
        <v>307</v>
      </c>
      <c r="B205" s="1" t="s">
        <v>11</v>
      </c>
      <c r="C205" s="2">
        <v>45247</v>
      </c>
      <c r="D205" s="2">
        <v>45247</v>
      </c>
      <c r="E205" s="1" t="s">
        <v>12</v>
      </c>
      <c r="F205" s="1" t="s">
        <v>13</v>
      </c>
      <c r="G205" s="1" t="str">
        <f>IF(H205="","",IFERROR(INDEX(tblOrgs[Client Name],MATCH(H205,tblOrgs[Client ABN],0)),""))</f>
        <v>T. Eilbeck &amp; Son Pty Ltd</v>
      </c>
      <c r="H205" s="1">
        <v>22295128214</v>
      </c>
    </row>
    <row r="206" spans="1:8" x14ac:dyDescent="0.25">
      <c r="A206" s="1" t="s">
        <v>190</v>
      </c>
      <c r="B206" s="1" t="s">
        <v>11</v>
      </c>
      <c r="C206" s="2">
        <v>44886</v>
      </c>
      <c r="D206" s="2">
        <v>44886</v>
      </c>
      <c r="E206" s="1" t="s">
        <v>12</v>
      </c>
      <c r="F206" s="1" t="s">
        <v>13</v>
      </c>
      <c r="G206" s="1" t="str">
        <f>IF(H206="","",IFERROR(INDEX(tblOrgs[Client Name],MATCH(H206,tblOrgs[Client ABN],0)),""))</f>
        <v>iShift Solutions Pty Ltd</v>
      </c>
      <c r="H206" s="1">
        <v>34626019396</v>
      </c>
    </row>
    <row r="207" spans="1:8" x14ac:dyDescent="0.25">
      <c r="A207" s="1" t="s">
        <v>214</v>
      </c>
      <c r="B207" s="1" t="s">
        <v>11</v>
      </c>
      <c r="C207" s="2">
        <v>44887</v>
      </c>
      <c r="D207" s="2">
        <v>44887</v>
      </c>
      <c r="E207" s="1" t="s">
        <v>12</v>
      </c>
      <c r="F207" s="1" t="s">
        <v>13</v>
      </c>
      <c r="G207" s="1" t="str">
        <f>IF(H207="","",IFERROR(INDEX(tblOrgs[Client Name],MATCH(H207,tblOrgs[Client ABN],0)),""))</f>
        <v>Specialized Access Pty Ltd</v>
      </c>
      <c r="H207" s="1">
        <v>48642527259</v>
      </c>
    </row>
    <row r="208" spans="1:8" x14ac:dyDescent="0.25">
      <c r="A208" s="1" t="s">
        <v>225</v>
      </c>
      <c r="B208" s="1" t="s">
        <v>11</v>
      </c>
      <c r="C208" s="2">
        <v>44894</v>
      </c>
      <c r="D208" s="2">
        <v>44894</v>
      </c>
      <c r="E208" s="1" t="s">
        <v>12</v>
      </c>
      <c r="F208" s="1" t="s">
        <v>13</v>
      </c>
      <c r="G208" s="1" t="str">
        <f>IF(H208="","",IFERROR(INDEX(tblOrgs[Client Name],MATCH(H208,tblOrgs[Client ABN],0)),""))</f>
        <v>Victorian Crane Hire Pty Ltd</v>
      </c>
      <c r="H208" s="1">
        <v>15619105092</v>
      </c>
    </row>
    <row r="209" spans="1:8" x14ac:dyDescent="0.25">
      <c r="A209" s="1" t="s">
        <v>207</v>
      </c>
      <c r="B209" s="1" t="s">
        <v>11</v>
      </c>
      <c r="C209" s="2">
        <v>44895</v>
      </c>
      <c r="D209" s="2">
        <v>44895</v>
      </c>
      <c r="E209" s="1" t="s">
        <v>12</v>
      </c>
      <c r="F209" s="1" t="s">
        <v>13</v>
      </c>
      <c r="G209" s="1" t="str">
        <f>IF(H209="","",IFERROR(INDEX(tblOrgs[Client Name],MATCH(H209,tblOrgs[Client ABN],0)),""))</f>
        <v>Q Electrical Services Pty Ltd</v>
      </c>
      <c r="H209" s="1">
        <v>70068064817</v>
      </c>
    </row>
    <row r="210" spans="1:8" x14ac:dyDescent="0.25">
      <c r="A210" s="1" t="s">
        <v>221</v>
      </c>
      <c r="B210" s="1" t="s">
        <v>11</v>
      </c>
      <c r="C210" s="2">
        <v>44895</v>
      </c>
      <c r="D210" s="2">
        <v>44895</v>
      </c>
      <c r="E210" s="1" t="s">
        <v>12</v>
      </c>
      <c r="F210" s="1" t="s">
        <v>13</v>
      </c>
      <c r="G210" s="1" t="str">
        <f>IF(H210="","",IFERROR(INDEX(tblOrgs[Client Name],MATCH(H210,tblOrgs[Client ABN],0)),""))</f>
        <v>Taylors Freight Transport Pty Ltd</v>
      </c>
      <c r="H210" s="1">
        <v>91136398126</v>
      </c>
    </row>
    <row r="211" spans="1:8" x14ac:dyDescent="0.25">
      <c r="A211" s="1" t="s">
        <v>219</v>
      </c>
      <c r="B211" s="1" t="s">
        <v>11</v>
      </c>
      <c r="C211" s="2">
        <v>44901</v>
      </c>
      <c r="D211" s="2">
        <v>44901</v>
      </c>
      <c r="E211" s="1" t="s">
        <v>12</v>
      </c>
      <c r="F211" s="1" t="s">
        <v>13</v>
      </c>
      <c r="G211" s="1" t="str">
        <f>IF(H211="","",IFERROR(INDEX(tblOrgs[Client Name],MATCH(H211,tblOrgs[Client ABN],0)),""))</f>
        <v>Symal Group Pty Ltd</v>
      </c>
      <c r="H211" s="1">
        <v>72615255466</v>
      </c>
    </row>
    <row r="212" spans="1:8" x14ac:dyDescent="0.25">
      <c r="A212" s="1" t="s">
        <v>194</v>
      </c>
      <c r="B212" s="1" t="s">
        <v>11</v>
      </c>
      <c r="C212" s="2">
        <v>44901</v>
      </c>
      <c r="D212" s="2">
        <v>44901</v>
      </c>
      <c r="E212" s="1" t="s">
        <v>12</v>
      </c>
      <c r="F212" s="1" t="s">
        <v>13</v>
      </c>
      <c r="G212" s="1" t="str">
        <f>IF(H212="","",IFERROR(INDEX(tblOrgs[Client Name],MATCH(H212,tblOrgs[Client ABN],0)),""))</f>
        <v>LCR Group Pty Ltd</v>
      </c>
      <c r="H212" s="1">
        <v>78095626798</v>
      </c>
    </row>
    <row r="213" spans="1:8" x14ac:dyDescent="0.25">
      <c r="A213" s="1" t="s">
        <v>181</v>
      </c>
      <c r="B213" s="1" t="s">
        <v>11</v>
      </c>
      <c r="C213" s="2">
        <v>44908</v>
      </c>
      <c r="D213" s="2">
        <v>44908</v>
      </c>
      <c r="E213" s="1" t="s">
        <v>12</v>
      </c>
      <c r="F213" s="1" t="s">
        <v>13</v>
      </c>
      <c r="G213" s="1" t="str">
        <f>IF(H213="","",IFERROR(INDEX(tblOrgs[Client Name],MATCH(H213,tblOrgs[Client ABN],0)),""))</f>
        <v>Freight Movement Pty Ltd</v>
      </c>
      <c r="H213" s="1">
        <v>61130823933</v>
      </c>
    </row>
    <row r="214" spans="1:8" x14ac:dyDescent="0.25">
      <c r="A214" s="1" t="s">
        <v>202</v>
      </c>
      <c r="B214" s="1" t="s">
        <v>11</v>
      </c>
      <c r="C214" s="2">
        <v>44913</v>
      </c>
      <c r="D214" s="2">
        <v>44913</v>
      </c>
      <c r="E214" s="1" t="s">
        <v>12</v>
      </c>
      <c r="F214" s="1" t="s">
        <v>13</v>
      </c>
      <c r="G214" s="1" t="str">
        <f>IF(H214="","",IFERROR(INDEX(tblOrgs[Client Name],MATCH(H214,tblOrgs[Client ABN],0)),""))</f>
        <v>Modcast Pty Ltd</v>
      </c>
      <c r="H214" s="1">
        <v>30626198847</v>
      </c>
    </row>
    <row r="215" spans="1:8" x14ac:dyDescent="0.25">
      <c r="A215" s="1" t="s">
        <v>170</v>
      </c>
      <c r="B215" s="1" t="s">
        <v>11</v>
      </c>
      <c r="C215" s="2">
        <v>44917</v>
      </c>
      <c r="D215" s="2">
        <v>44917</v>
      </c>
      <c r="E215" s="1" t="s">
        <v>12</v>
      </c>
      <c r="F215" s="1" t="s">
        <v>13</v>
      </c>
      <c r="G215" s="1" t="str">
        <f>IF(H215="","",IFERROR(INDEX(tblOrgs[Client Name],MATCH(H215,tblOrgs[Client ABN],0)),""))</f>
        <v>Cono Services Pty Ltd</v>
      </c>
      <c r="H215" s="1">
        <v>90167205656</v>
      </c>
    </row>
    <row r="216" spans="1:8" x14ac:dyDescent="0.25">
      <c r="A216" s="1" t="s">
        <v>272</v>
      </c>
      <c r="B216" s="1" t="s">
        <v>11</v>
      </c>
      <c r="C216" s="2">
        <v>44935</v>
      </c>
      <c r="D216" s="2">
        <v>44935</v>
      </c>
      <c r="E216" s="1" t="s">
        <v>12</v>
      </c>
      <c r="F216" s="1" t="s">
        <v>13</v>
      </c>
      <c r="G216" s="1" t="str">
        <f>IF(H216="","",IFERROR(INDEX(tblOrgs[Client Name],MATCH(H216,tblOrgs[Client ABN],0)),""))</f>
        <v>KCJ Rail Pty Ltd</v>
      </c>
      <c r="H216" s="1">
        <v>33624597048</v>
      </c>
    </row>
    <row r="217" spans="1:8" x14ac:dyDescent="0.25">
      <c r="A217" s="1" t="s">
        <v>244</v>
      </c>
      <c r="B217" s="1" t="s">
        <v>11</v>
      </c>
      <c r="C217" s="2">
        <v>44943</v>
      </c>
      <c r="D217" s="2">
        <v>44943</v>
      </c>
      <c r="E217" s="1" t="s">
        <v>12</v>
      </c>
      <c r="F217" s="1" t="s">
        <v>13</v>
      </c>
      <c r="G217" s="1" t="str">
        <f>IF(H217="","",IFERROR(INDEX(tblOrgs[Client Name],MATCH(H217,tblOrgs[Client ABN],0)),""))</f>
        <v>Australian Utilities Management Pty Ltd</v>
      </c>
      <c r="H217" s="1">
        <v>50140551104</v>
      </c>
    </row>
    <row r="218" spans="1:8" x14ac:dyDescent="0.25">
      <c r="A218" s="1" t="s">
        <v>294</v>
      </c>
      <c r="B218" s="1" t="s">
        <v>11</v>
      </c>
      <c r="C218" s="2">
        <v>44949</v>
      </c>
      <c r="D218" s="2">
        <v>44949</v>
      </c>
      <c r="E218" s="1" t="s">
        <v>12</v>
      </c>
      <c r="F218" s="1" t="s">
        <v>13</v>
      </c>
      <c r="G218" s="1" t="str">
        <f>IF(H218="","",IFERROR(INDEX(tblOrgs[Client Name],MATCH(H218,tblOrgs[Client ABN],0)),""))</f>
        <v>Refire Group Pty Ltd</v>
      </c>
      <c r="H218" s="1">
        <v>72633993218</v>
      </c>
    </row>
    <row r="219" spans="1:8" x14ac:dyDescent="0.25">
      <c r="A219" s="1" t="s">
        <v>293</v>
      </c>
      <c r="B219" s="1" t="s">
        <v>11</v>
      </c>
      <c r="C219" s="2">
        <v>44951</v>
      </c>
      <c r="D219" s="2">
        <v>44951</v>
      </c>
      <c r="E219" s="1" t="s">
        <v>12</v>
      </c>
      <c r="F219" s="1" t="s">
        <v>13</v>
      </c>
      <c r="G219" s="1" t="str">
        <f>IF(H219="","",IFERROR(INDEX(tblOrgs[Client Name],MATCH(H219,tblOrgs[Client ABN],0)),""))</f>
        <v>Rail Control Systems Australia Pty Ltd</v>
      </c>
      <c r="H219" s="1">
        <v>42137934055</v>
      </c>
    </row>
    <row r="220" spans="1:8" x14ac:dyDescent="0.25">
      <c r="A220" s="1" t="s">
        <v>238</v>
      </c>
      <c r="B220" s="1" t="s">
        <v>11</v>
      </c>
      <c r="C220" s="2">
        <v>44957</v>
      </c>
      <c r="D220" s="2">
        <v>44957</v>
      </c>
      <c r="E220" s="1" t="s">
        <v>12</v>
      </c>
      <c r="F220" s="1" t="s">
        <v>13</v>
      </c>
      <c r="G220" s="1" t="str">
        <f>IF(H220="","",IFERROR(INDEX(tblOrgs[Client Name],MATCH(H220,tblOrgs[Client ABN],0)),""))</f>
        <v>Alimak Group Australia Pty Ltd</v>
      </c>
      <c r="H220" s="1">
        <v>80005538947</v>
      </c>
    </row>
    <row r="221" spans="1:8" x14ac:dyDescent="0.25">
      <c r="A221" s="1" t="s">
        <v>311</v>
      </c>
      <c r="B221" s="1" t="s">
        <v>11</v>
      </c>
      <c r="C221" s="2">
        <v>44937</v>
      </c>
      <c r="D221" s="2">
        <v>44937</v>
      </c>
      <c r="E221" s="1" t="s">
        <v>12</v>
      </c>
      <c r="F221" s="1" t="s">
        <v>13</v>
      </c>
      <c r="G221" s="1" t="str">
        <f>IF(H221="","",IFERROR(INDEX(tblOrgs[Client Name],MATCH(H221,tblOrgs[Client ABN],0)),""))</f>
        <v>Wessel Drilling Pty Ltd</v>
      </c>
      <c r="H221" s="1">
        <v>88604544023</v>
      </c>
    </row>
    <row r="222" spans="1:8" x14ac:dyDescent="0.25">
      <c r="A222" s="1" t="s">
        <v>255</v>
      </c>
      <c r="B222" s="1" t="s">
        <v>11</v>
      </c>
      <c r="C222" s="2">
        <v>44957</v>
      </c>
      <c r="D222" s="2">
        <v>44957</v>
      </c>
      <c r="E222" s="1" t="s">
        <v>12</v>
      </c>
      <c r="F222" s="1" t="s">
        <v>13</v>
      </c>
      <c r="G222" s="1" t="str">
        <f>IF(H222="","",IFERROR(INDEX(tblOrgs[Client Name],MATCH(H222,tblOrgs[Client ABN],0)),""))</f>
        <v>Eire Midland Constructions Pty Ltd</v>
      </c>
      <c r="H222" s="1">
        <v>45079929687</v>
      </c>
    </row>
    <row r="223" spans="1:8" x14ac:dyDescent="0.25">
      <c r="A223" s="1" t="s">
        <v>287</v>
      </c>
      <c r="B223" s="1" t="s">
        <v>11</v>
      </c>
      <c r="C223" s="2">
        <v>44965</v>
      </c>
      <c r="D223" s="2">
        <v>44965</v>
      </c>
      <c r="E223" s="1" t="s">
        <v>12</v>
      </c>
      <c r="F223" s="1" t="s">
        <v>13</v>
      </c>
      <c r="G223" s="1" t="str">
        <f>IF(H223="","",IFERROR(INDEX(tblOrgs[Client Name],MATCH(H223,tblOrgs[Client ABN],0)),""))</f>
        <v>Project Civil Group</v>
      </c>
      <c r="H223" s="1">
        <v>44636135094</v>
      </c>
    </row>
    <row r="224" spans="1:8" x14ac:dyDescent="0.25">
      <c r="A224" s="1" t="s">
        <v>262</v>
      </c>
      <c r="B224" s="1" t="s">
        <v>11</v>
      </c>
      <c r="C224" s="2">
        <v>44983</v>
      </c>
      <c r="D224" s="2">
        <v>44983</v>
      </c>
      <c r="E224" s="1" t="s">
        <v>12</v>
      </c>
      <c r="F224" s="1" t="s">
        <v>13</v>
      </c>
      <c r="G224" s="1" t="str">
        <f>IF(H224="","",IFERROR(INDEX(tblOrgs[Client Name],MATCH(H224,tblOrgs[Client ABN],0)),""))</f>
        <v>Fugen Masonry Contractors (Qld) Pty Limited</v>
      </c>
      <c r="H224" s="1">
        <v>75097686130</v>
      </c>
    </row>
    <row r="225" spans="1:8" x14ac:dyDescent="0.25">
      <c r="A225" s="1" t="s">
        <v>285</v>
      </c>
      <c r="B225" s="1" t="s">
        <v>11</v>
      </c>
      <c r="C225" s="2">
        <v>44973</v>
      </c>
      <c r="D225" s="2">
        <v>44973</v>
      </c>
      <c r="E225" s="1" t="s">
        <v>12</v>
      </c>
      <c r="F225" s="1" t="s">
        <v>13</v>
      </c>
      <c r="G225" s="1" t="str">
        <f>IF(H225="","",IFERROR(INDEX(tblOrgs[Client Name],MATCH(H225,tblOrgs[Client ABN],0)),""))</f>
        <v>Precast Concrete Solutions Pty Ltd</v>
      </c>
      <c r="H225" s="1">
        <v>90096370357</v>
      </c>
    </row>
    <row r="226" spans="1:8" x14ac:dyDescent="0.25">
      <c r="A226" s="1" t="s">
        <v>313</v>
      </c>
      <c r="B226" s="1" t="s">
        <v>11</v>
      </c>
      <c r="C226" s="2">
        <v>44979</v>
      </c>
      <c r="D226" s="2">
        <v>44979</v>
      </c>
      <c r="E226" s="1" t="s">
        <v>12</v>
      </c>
      <c r="F226" s="1" t="s">
        <v>13</v>
      </c>
      <c r="G226" s="1" t="str">
        <f>IF(H226="","",IFERROR(INDEX(tblOrgs[Client Name],MATCH(H226,tblOrgs[Client ABN],0)),""))</f>
        <v>Whyte Civil Pty Ltd</v>
      </c>
      <c r="H226" s="1">
        <v>34167594685</v>
      </c>
    </row>
    <row r="227" spans="1:8" x14ac:dyDescent="0.25">
      <c r="A227" s="1" t="s">
        <v>248</v>
      </c>
      <c r="B227" s="1" t="s">
        <v>11</v>
      </c>
      <c r="C227" s="2">
        <v>44967</v>
      </c>
      <c r="D227" s="2">
        <v>44967</v>
      </c>
      <c r="E227" s="1" t="s">
        <v>12</v>
      </c>
      <c r="F227" s="1" t="s">
        <v>13</v>
      </c>
      <c r="G227" s="1" t="str">
        <f>IF(H227="","",IFERROR(INDEX(tblOrgs[Client Name],MATCH(H227,tblOrgs[Client ABN],0)),""))</f>
        <v>Chess Engineering Pty Ltd</v>
      </c>
      <c r="H227" s="1">
        <v>37000615056</v>
      </c>
    </row>
    <row r="228" spans="1:8" x14ac:dyDescent="0.25">
      <c r="A228" s="1" t="s">
        <v>314</v>
      </c>
      <c r="B228" s="1" t="s">
        <v>11</v>
      </c>
      <c r="C228" s="2">
        <v>45007</v>
      </c>
      <c r="D228" s="2">
        <v>45007</v>
      </c>
      <c r="E228" s="1" t="s">
        <v>12</v>
      </c>
      <c r="F228" s="1" t="s">
        <v>13</v>
      </c>
      <c r="G228" s="1" t="str">
        <f>IF(H228="","",IFERROR(INDEX(tblOrgs[Client Name],MATCH(H228,tblOrgs[Client ABN],0)),""))</f>
        <v>Xtra Mile Trucking Pty Ltd</v>
      </c>
      <c r="H228" s="1">
        <v>97153464469</v>
      </c>
    </row>
    <row r="229" spans="1:8" x14ac:dyDescent="0.25">
      <c r="A229" s="1" t="s">
        <v>245</v>
      </c>
      <c r="B229" s="1" t="s">
        <v>11</v>
      </c>
      <c r="C229" s="2">
        <v>45010</v>
      </c>
      <c r="D229" s="2">
        <v>45010</v>
      </c>
      <c r="E229" s="1" t="s">
        <v>12</v>
      </c>
      <c r="F229" s="1" t="s">
        <v>13</v>
      </c>
      <c r="G229" s="1" t="str">
        <f>IF(H229="","",IFERROR(INDEX(tblOrgs[Client Name],MATCH(H229,tblOrgs[Client ABN],0)),""))</f>
        <v>Avopiling Services (NSW) Pty Ltd</v>
      </c>
      <c r="H229" s="1">
        <v>11165683349</v>
      </c>
    </row>
    <row r="230" spans="1:8" x14ac:dyDescent="0.25">
      <c r="A230" s="1" t="s">
        <v>263</v>
      </c>
      <c r="B230" s="1" t="s">
        <v>11</v>
      </c>
      <c r="C230" s="2">
        <v>45012</v>
      </c>
      <c r="D230" s="2">
        <v>45012</v>
      </c>
      <c r="E230" s="1" t="s">
        <v>12</v>
      </c>
      <c r="F230" s="1" t="s">
        <v>13</v>
      </c>
      <c r="G230" s="1" t="str">
        <f>IF(H230="","",IFERROR(INDEX(tblOrgs[Client Name],MATCH(H230,tblOrgs[Client ABN],0)),""))</f>
        <v>Gonzalez Steel Pty Limited</v>
      </c>
      <c r="H230" s="1">
        <v>97111176713</v>
      </c>
    </row>
    <row r="231" spans="1:8" x14ac:dyDescent="0.25">
      <c r="A231" s="1" t="s">
        <v>279</v>
      </c>
      <c r="B231" s="1" t="s">
        <v>11</v>
      </c>
      <c r="C231" s="2">
        <v>45029</v>
      </c>
      <c r="D231" s="2">
        <v>45029</v>
      </c>
      <c r="E231" s="1" t="s">
        <v>12</v>
      </c>
      <c r="F231" s="1" t="s">
        <v>13</v>
      </c>
      <c r="G231" s="1" t="str">
        <f>IF(H231="","",IFERROR(INDEX(tblOrgs[Client Name],MATCH(H231,tblOrgs[Client ABN],0)),""))</f>
        <v>Matrix Drilling Australia Pty Ltd</v>
      </c>
      <c r="H231" s="1">
        <v>65631934971</v>
      </c>
    </row>
    <row r="232" spans="1:8" x14ac:dyDescent="0.25">
      <c r="A232" s="1" t="s">
        <v>296</v>
      </c>
      <c r="B232" s="1" t="s">
        <v>11</v>
      </c>
      <c r="C232" s="2">
        <v>45013</v>
      </c>
      <c r="D232" s="2">
        <v>45013</v>
      </c>
      <c r="E232" s="1" t="s">
        <v>12</v>
      </c>
      <c r="F232" s="1" t="s">
        <v>13</v>
      </c>
      <c r="G232" s="1" t="str">
        <f>IF(H232="","",IFERROR(INDEX(tblOrgs[Client Name],MATCH(H232,tblOrgs[Client ABN],0)),""))</f>
        <v>Seadar Contractors Pty Ltd</v>
      </c>
      <c r="H232" s="1">
        <v>52600073087</v>
      </c>
    </row>
    <row r="233" spans="1:8" x14ac:dyDescent="0.25">
      <c r="A233" s="1" t="s">
        <v>258</v>
      </c>
      <c r="B233" s="1" t="s">
        <v>11</v>
      </c>
      <c r="C233" s="2">
        <v>45232</v>
      </c>
      <c r="D233" s="2">
        <v>45232</v>
      </c>
      <c r="E233" s="1" t="s">
        <v>12</v>
      </c>
      <c r="F233" s="1" t="s">
        <v>13</v>
      </c>
      <c r="G233" s="1" t="str">
        <f>IF(H233="","",IFERROR(INDEX(tblOrgs[Client Name],MATCH(H233,tblOrgs[Client ABN],0)),""))</f>
        <v>Evolution Group Holdings Pty Ltd</v>
      </c>
      <c r="H233" s="1">
        <v>14147834133</v>
      </c>
    </row>
    <row r="234" spans="1:8" x14ac:dyDescent="0.25">
      <c r="A234" s="1" t="s">
        <v>298</v>
      </c>
      <c r="B234" s="1" t="s">
        <v>11</v>
      </c>
      <c r="C234" s="2">
        <v>45030</v>
      </c>
      <c r="D234" s="2">
        <v>45030</v>
      </c>
      <c r="E234" s="1" t="s">
        <v>12</v>
      </c>
      <c r="F234" s="1" t="s">
        <v>13</v>
      </c>
      <c r="G234" s="1" t="str">
        <f>IF(H234="","",IFERROR(INDEX(tblOrgs[Client Name],MATCH(H234,tblOrgs[Client ABN],0)),""))</f>
        <v>Slaney Excavations Pty Ltd</v>
      </c>
      <c r="H234" s="1">
        <v>76169837316</v>
      </c>
    </row>
    <row r="235" spans="1:8" x14ac:dyDescent="0.25">
      <c r="A235" s="1" t="s">
        <v>316</v>
      </c>
      <c r="B235" s="1" t="s">
        <v>11</v>
      </c>
      <c r="C235" s="2">
        <v>45038</v>
      </c>
      <c r="D235" s="2">
        <v>45038</v>
      </c>
      <c r="E235" s="1" t="s">
        <v>12</v>
      </c>
      <c r="F235" s="1" t="s">
        <v>62</v>
      </c>
      <c r="G235" s="1" t="str">
        <f>IF(H235="","",IFERROR(INDEX(tblOrgs[Client Name],MATCH(H235,tblOrgs[Client ABN],0)),""))</f>
        <v>Slaney Excavations Pty Ltd</v>
      </c>
      <c r="H235" s="1">
        <v>76169837316</v>
      </c>
    </row>
    <row r="236" spans="1:8" x14ac:dyDescent="0.25">
      <c r="A236" s="1" t="s">
        <v>283</v>
      </c>
      <c r="B236" s="1" t="s">
        <v>11</v>
      </c>
      <c r="C236" s="2">
        <v>45037</v>
      </c>
      <c r="D236" s="2">
        <v>45037</v>
      </c>
      <c r="E236" s="1" t="s">
        <v>12</v>
      </c>
      <c r="F236" s="1" t="s">
        <v>13</v>
      </c>
      <c r="G236" s="1" t="str">
        <f>IF(H236="","",IFERROR(INDEX(tblOrgs[Client Name],MATCH(H236,tblOrgs[Client ABN],0)),""))</f>
        <v>Outrite Hire &amp; Sales Pty Ltd</v>
      </c>
      <c r="H236" s="1">
        <v>59632942584</v>
      </c>
    </row>
    <row r="237" spans="1:8" x14ac:dyDescent="0.25">
      <c r="A237" s="1" t="s">
        <v>252</v>
      </c>
      <c r="B237" s="1" t="s">
        <v>11</v>
      </c>
      <c r="C237" s="2">
        <v>45039</v>
      </c>
      <c r="D237" s="2">
        <v>45039</v>
      </c>
      <c r="E237" s="1" t="s">
        <v>12</v>
      </c>
      <c r="F237" s="1" t="s">
        <v>13</v>
      </c>
      <c r="G237" s="1" t="str">
        <f>IF(H237="","",IFERROR(INDEX(tblOrgs[Client Name],MATCH(H237,tblOrgs[Client ABN],0)),""))</f>
        <v>Cubis Systems Australia Pty Ltd</v>
      </c>
      <c r="H237" s="1">
        <v>88108718350</v>
      </c>
    </row>
    <row r="238" spans="1:8" x14ac:dyDescent="0.25">
      <c r="A238" s="1" t="s">
        <v>290</v>
      </c>
      <c r="B238" s="1" t="s">
        <v>11</v>
      </c>
      <c r="C238" s="2">
        <v>45051</v>
      </c>
      <c r="D238" s="2">
        <v>45051</v>
      </c>
      <c r="E238" s="1" t="s">
        <v>12</v>
      </c>
      <c r="F238" s="1" t="s">
        <v>13</v>
      </c>
      <c r="G238" s="1" t="str">
        <f>IF(H238="","",IFERROR(INDEX(tblOrgs[Client Name],MATCH(H238,tblOrgs[Client ABN],0)),""))</f>
        <v>Quinnex Pty Ltd</v>
      </c>
      <c r="H238" s="1">
        <v>46151524604</v>
      </c>
    </row>
    <row r="239" spans="1:8" x14ac:dyDescent="0.25">
      <c r="A239" s="1" t="s">
        <v>256</v>
      </c>
      <c r="B239" s="1" t="s">
        <v>11</v>
      </c>
      <c r="C239" s="2">
        <v>45039</v>
      </c>
      <c r="D239" s="2">
        <v>45039</v>
      </c>
      <c r="E239" s="1" t="s">
        <v>12</v>
      </c>
      <c r="F239" s="1" t="s">
        <v>13</v>
      </c>
      <c r="G239" s="1" t="str">
        <f>IF(H239="","",IFERROR(INDEX(tblOrgs[Client Name],MATCH(H239,tblOrgs[Client ABN],0)),""))</f>
        <v>ENCO Precast Pty Ltd</v>
      </c>
      <c r="H239" s="1">
        <v>56072772037</v>
      </c>
    </row>
    <row r="240" spans="1:8" x14ac:dyDescent="0.25">
      <c r="A240" s="1" t="s">
        <v>282</v>
      </c>
      <c r="B240" s="1" t="s">
        <v>11</v>
      </c>
      <c r="C240" s="2">
        <v>45057</v>
      </c>
      <c r="D240" s="2">
        <v>45057</v>
      </c>
      <c r="E240" s="1" t="s">
        <v>12</v>
      </c>
      <c r="F240" s="1" t="s">
        <v>13</v>
      </c>
      <c r="G240" s="1" t="str">
        <f>IF(H240="","",IFERROR(INDEX(tblOrgs[Client Name],MATCH(H240,tblOrgs[Client ABN],0)),""))</f>
        <v>Newnham Trucking Pty Ltd</v>
      </c>
      <c r="H240" s="1">
        <v>25100435363</v>
      </c>
    </row>
    <row r="241" spans="1:8" x14ac:dyDescent="0.25">
      <c r="A241" s="1" t="s">
        <v>157</v>
      </c>
      <c r="B241" s="1" t="s">
        <v>11</v>
      </c>
      <c r="C241" s="2">
        <v>44629</v>
      </c>
      <c r="D241" s="2">
        <v>44629</v>
      </c>
      <c r="E241" s="1" t="s">
        <v>12</v>
      </c>
      <c r="F241" s="1" t="s">
        <v>13</v>
      </c>
      <c r="G241" s="1" t="str">
        <f>IF(H241="","",IFERROR(INDEX(tblOrgs[Client Name],MATCH(H241,tblOrgs[Client ABN],0)),""))</f>
        <v>Ardee Civil Pty Ltd</v>
      </c>
      <c r="H241" s="1">
        <v>98050056105</v>
      </c>
    </row>
    <row r="242" spans="1:8" x14ac:dyDescent="0.25">
      <c r="A242" s="1" t="s">
        <v>312</v>
      </c>
      <c r="B242" s="1" t="s">
        <v>11</v>
      </c>
      <c r="C242" s="2">
        <v>45056</v>
      </c>
      <c r="D242" s="2">
        <v>45056</v>
      </c>
      <c r="E242" s="1" t="s">
        <v>12</v>
      </c>
      <c r="F242" s="1" t="s">
        <v>13</v>
      </c>
      <c r="G242" s="1" t="str">
        <f>IF(H242="","",IFERROR(INDEX(tblOrgs[Client Name],MATCH(H242,tblOrgs[Client ABN],0)),""))</f>
        <v>Westkon Precast Pty Ltd</v>
      </c>
      <c r="H242" s="1">
        <v>92107423156</v>
      </c>
    </row>
    <row r="243" spans="1:8" x14ac:dyDescent="0.25">
      <c r="A243" s="1" t="s">
        <v>305</v>
      </c>
      <c r="B243" s="1" t="s">
        <v>11</v>
      </c>
      <c r="C243" s="2">
        <v>45028</v>
      </c>
      <c r="D243" s="2">
        <v>45028</v>
      </c>
      <c r="E243" s="1" t="s">
        <v>12</v>
      </c>
      <c r="F243" s="1" t="s">
        <v>13</v>
      </c>
      <c r="G243" s="1" t="str">
        <f>IF(H243="","",IFERROR(INDEX(tblOrgs[Client Name],MATCH(H243,tblOrgs[Client ABN],0)),""))</f>
        <v>T &amp; M Southern Cranes Pty Ltd</v>
      </c>
      <c r="H243" s="1">
        <v>99006697338</v>
      </c>
    </row>
    <row r="244" spans="1:8" x14ac:dyDescent="0.25">
      <c r="A244" s="1" t="s">
        <v>233</v>
      </c>
      <c r="B244" s="1" t="s">
        <v>11</v>
      </c>
      <c r="C244" s="2">
        <v>45070</v>
      </c>
      <c r="D244" s="2">
        <v>45070</v>
      </c>
      <c r="E244" s="1" t="s">
        <v>12</v>
      </c>
      <c r="F244" s="1" t="s">
        <v>13</v>
      </c>
      <c r="G244" s="1" t="str">
        <f>IF(H244="","",IFERROR(INDEX(tblOrgs[Client Name],MATCH(H244,tblOrgs[Client ABN],0)),""))</f>
        <v>A C Whalan &amp; Co Pty Ltd</v>
      </c>
      <c r="H244" s="1">
        <v>90003499849</v>
      </c>
    </row>
    <row r="245" spans="1:8" x14ac:dyDescent="0.25">
      <c r="A245" s="1" t="s">
        <v>237</v>
      </c>
      <c r="B245" s="1" t="s">
        <v>11</v>
      </c>
      <c r="C245" s="2">
        <v>45082</v>
      </c>
      <c r="D245" s="2">
        <v>45082</v>
      </c>
      <c r="E245" s="1" t="s">
        <v>12</v>
      </c>
      <c r="F245" s="1" t="s">
        <v>13</v>
      </c>
      <c r="G245" s="1" t="str">
        <f>IF(H245="","",IFERROR(INDEX(tblOrgs[Client Name],MATCH(H245,tblOrgs[Client ABN],0)),""))</f>
        <v>Advanced Weather Proofing Pty Ltd</v>
      </c>
      <c r="H245" s="1">
        <v>44113903772</v>
      </c>
    </row>
    <row r="246" spans="1:8" x14ac:dyDescent="0.25">
      <c r="A246" s="1" t="s">
        <v>269</v>
      </c>
      <c r="B246" s="1" t="s">
        <v>11</v>
      </c>
      <c r="C246" s="2">
        <v>45231</v>
      </c>
      <c r="D246" s="2">
        <v>45231</v>
      </c>
      <c r="E246" s="1" t="s">
        <v>12</v>
      </c>
      <c r="F246" s="1" t="s">
        <v>13</v>
      </c>
      <c r="G246" s="1" t="str">
        <f>IF(H246="","",IFERROR(INDEX(tblOrgs[Client Name],MATCH(H246,tblOrgs[Client ABN],0)),""))</f>
        <v>Holcim (Australia) Pty Ltd</v>
      </c>
      <c r="H246" s="1">
        <v>87099732297</v>
      </c>
    </row>
    <row r="247" spans="1:8" x14ac:dyDescent="0.25">
      <c r="A247" s="1" t="s">
        <v>250</v>
      </c>
      <c r="B247" s="1" t="s">
        <v>11</v>
      </c>
      <c r="C247" s="2">
        <v>45098</v>
      </c>
      <c r="D247" s="2">
        <v>45098</v>
      </c>
      <c r="E247" s="1" t="s">
        <v>12</v>
      </c>
      <c r="F247" s="1" t="s">
        <v>13</v>
      </c>
      <c r="G247" s="1" t="str">
        <f>IF(H247="","",IFERROR(INDEX(tblOrgs[Client Name],MATCH(H247,tblOrgs[Client ABN],0)),""))</f>
        <v>Comfort Sleep Bedding Pty Ltd</v>
      </c>
      <c r="H247" s="1">
        <v>52655705114</v>
      </c>
    </row>
    <row r="248" spans="1:8" x14ac:dyDescent="0.25">
      <c r="A248" s="1" t="s">
        <v>235</v>
      </c>
      <c r="B248" s="1" t="s">
        <v>11</v>
      </c>
      <c r="C248" s="2">
        <v>45091</v>
      </c>
      <c r="D248" s="2">
        <v>45091</v>
      </c>
      <c r="E248" s="1" t="s">
        <v>12</v>
      </c>
      <c r="F248" s="1" t="s">
        <v>13</v>
      </c>
      <c r="G248" s="1" t="str">
        <f>IF(H248="","",IFERROR(INDEX(tblOrgs[Client Name],MATCH(H248,tblOrgs[Client ABN],0)),""))</f>
        <v>Abyss Construction Pty Ltd</v>
      </c>
      <c r="H248" s="1">
        <v>50614066223</v>
      </c>
    </row>
    <row r="249" spans="1:8" x14ac:dyDescent="0.25">
      <c r="A249" s="1" t="s">
        <v>303</v>
      </c>
      <c r="B249" s="1" t="s">
        <v>11</v>
      </c>
      <c r="C249" s="2">
        <v>45130</v>
      </c>
      <c r="D249" s="2">
        <v>45130</v>
      </c>
      <c r="E249" s="1" t="s">
        <v>12</v>
      </c>
      <c r="F249" s="1" t="s">
        <v>13</v>
      </c>
      <c r="G249" s="1" t="str">
        <f>IF(H249="","",IFERROR(INDEX(tblOrgs[Client Name],MATCH(H249,tblOrgs[Client ABN],0)),""))</f>
        <v>STG Pumps Pty Ltd</v>
      </c>
      <c r="H249" s="1">
        <v>61602493872</v>
      </c>
    </row>
    <row r="250" spans="1:8" x14ac:dyDescent="0.25">
      <c r="A250" s="1" t="s">
        <v>318</v>
      </c>
      <c r="B250" s="1" t="s">
        <v>11</v>
      </c>
      <c r="C250" s="2">
        <v>45142</v>
      </c>
      <c r="D250" s="2">
        <v>45142</v>
      </c>
      <c r="E250" s="1" t="s">
        <v>12</v>
      </c>
      <c r="F250" s="1" t="s">
        <v>62</v>
      </c>
      <c r="G250" s="1" t="str">
        <f>IF(H250="","",IFERROR(INDEX(tblOrgs[Client Name],MATCH(H250,tblOrgs[Client ABN],0)),""))</f>
        <v>STG Pumps Pty Ltd</v>
      </c>
      <c r="H250" s="1">
        <v>61602493872</v>
      </c>
    </row>
    <row r="251" spans="1:8" x14ac:dyDescent="0.25">
      <c r="A251" s="1" t="s">
        <v>271</v>
      </c>
      <c r="B251" s="1" t="s">
        <v>11</v>
      </c>
      <c r="C251" s="2">
        <v>45111</v>
      </c>
      <c r="D251" s="2">
        <v>45111</v>
      </c>
      <c r="E251" s="1" t="s">
        <v>12</v>
      </c>
      <c r="F251" s="1" t="s">
        <v>13</v>
      </c>
      <c r="G251" s="1" t="str">
        <f>IF(H251="","",IFERROR(INDEX(tblOrgs[Client Name],MATCH(H251,tblOrgs[Client ABN],0)),""))</f>
        <v>JR &amp; EG Richards (NSW) Pty Ltd</v>
      </c>
      <c r="H251" s="1">
        <v>34000526385</v>
      </c>
    </row>
    <row r="252" spans="1:8" x14ac:dyDescent="0.25">
      <c r="A252" s="1" t="s">
        <v>277</v>
      </c>
      <c r="B252" s="1" t="s">
        <v>11</v>
      </c>
      <c r="C252" s="2">
        <v>45116</v>
      </c>
      <c r="D252" s="2">
        <v>45116</v>
      </c>
      <c r="E252" s="1" t="s">
        <v>12</v>
      </c>
      <c r="F252" s="1" t="s">
        <v>13</v>
      </c>
      <c r="G252" s="1" t="str">
        <f>IF(H252="","",IFERROR(INDEX(tblOrgs[Client Name],MATCH(H252,tblOrgs[Client ABN],0)),""))</f>
        <v>Mansell Premix Pty Ltd</v>
      </c>
      <c r="H252" s="1">
        <v>11124779148</v>
      </c>
    </row>
    <row r="253" spans="1:8" x14ac:dyDescent="0.25">
      <c r="A253" s="1" t="s">
        <v>264</v>
      </c>
      <c r="B253" s="1" t="s">
        <v>11</v>
      </c>
      <c r="C253" s="2">
        <v>45121</v>
      </c>
      <c r="D253" s="2">
        <v>45121</v>
      </c>
      <c r="E253" s="1" t="s">
        <v>12</v>
      </c>
      <c r="F253" s="1" t="s">
        <v>13</v>
      </c>
      <c r="G253" s="1" t="str">
        <f>IF(H253="","",IFERROR(INDEX(tblOrgs[Client Name],MATCH(H253,tblOrgs[Client ABN],0)),""))</f>
        <v>GVP Fabricators Pty Ltd</v>
      </c>
      <c r="H253" s="1">
        <v>59082132394</v>
      </c>
    </row>
    <row r="254" spans="1:8" x14ac:dyDescent="0.25">
      <c r="A254" s="1" t="s">
        <v>286</v>
      </c>
      <c r="B254" s="1" t="s">
        <v>11</v>
      </c>
      <c r="C254" s="2">
        <v>45112</v>
      </c>
      <c r="D254" s="2">
        <v>45112</v>
      </c>
      <c r="E254" s="1" t="s">
        <v>12</v>
      </c>
      <c r="F254" s="1" t="s">
        <v>13</v>
      </c>
      <c r="G254" s="1" t="str">
        <f>IF(H254="","",IFERROR(INDEX(tblOrgs[Client Name],MATCH(H254,tblOrgs[Client ABN],0)),""))</f>
        <v>Pressure Works Pty Ltd</v>
      </c>
      <c r="H254" s="1">
        <v>94365883835</v>
      </c>
    </row>
    <row r="255" spans="1:8" x14ac:dyDescent="0.25">
      <c r="A255" s="1" t="s">
        <v>276</v>
      </c>
      <c r="B255" s="1" t="s">
        <v>11</v>
      </c>
      <c r="C255" s="2">
        <v>45117</v>
      </c>
      <c r="D255" s="2">
        <v>45117</v>
      </c>
      <c r="E255" s="1" t="s">
        <v>12</v>
      </c>
      <c r="F255" s="1" t="s">
        <v>13</v>
      </c>
      <c r="G255" s="1" t="str">
        <f>IF(H255="","",IFERROR(INDEX(tblOrgs[Client Name],MATCH(H255,tblOrgs[Client ABN],0)),""))</f>
        <v>Maas Group Holdings</v>
      </c>
      <c r="H255" s="1">
        <v>84632994542</v>
      </c>
    </row>
    <row r="256" spans="1:8" x14ac:dyDescent="0.25">
      <c r="A256" s="1" t="s">
        <v>288</v>
      </c>
      <c r="B256" s="1" t="s">
        <v>11</v>
      </c>
      <c r="C256" s="2">
        <v>45124</v>
      </c>
      <c r="D256" s="2">
        <v>45124</v>
      </c>
      <c r="E256" s="1" t="s">
        <v>12</v>
      </c>
      <c r="F256" s="1" t="s">
        <v>13</v>
      </c>
      <c r="G256" s="1" t="str">
        <f>IF(H256="","",IFERROR(INDEX(tblOrgs[Client Name],MATCH(H256,tblOrgs[Client ABN],0)),""))</f>
        <v>PWG Infrastructure Pty Ltd</v>
      </c>
      <c r="H256" s="1">
        <v>45628502410</v>
      </c>
    </row>
    <row r="257" spans="1:8" x14ac:dyDescent="0.25">
      <c r="A257" s="1" t="s">
        <v>274</v>
      </c>
      <c r="B257" s="1" t="s">
        <v>11</v>
      </c>
      <c r="C257" s="2">
        <v>45125</v>
      </c>
      <c r="D257" s="2">
        <v>45125</v>
      </c>
      <c r="E257" s="1" t="s">
        <v>12</v>
      </c>
      <c r="F257" s="1" t="s">
        <v>13</v>
      </c>
      <c r="G257" s="1" t="str">
        <f>IF(H257="","",IFERROR(INDEX(tblOrgs[Client Name],MATCH(H257,tblOrgs[Client ABN],0)),""))</f>
        <v>LC Trucking Pty Ltd</v>
      </c>
      <c r="H257" s="1">
        <v>51624255223</v>
      </c>
    </row>
    <row r="258" spans="1:8" x14ac:dyDescent="0.25">
      <c r="A258" s="1" t="s">
        <v>240</v>
      </c>
      <c r="B258" s="1" t="s">
        <v>11</v>
      </c>
      <c r="C258" s="2">
        <v>45131</v>
      </c>
      <c r="D258" s="2">
        <v>45131</v>
      </c>
      <c r="E258" s="1" t="s">
        <v>12</v>
      </c>
      <c r="F258" s="1" t="s">
        <v>13</v>
      </c>
      <c r="G258" s="1" t="str">
        <f>IF(H258="","",IFERROR(INDEX(tblOrgs[Client Name],MATCH(H258,tblOrgs[Client ABN],0)),""))</f>
        <v>Arcadia Global Pty Ltd</v>
      </c>
      <c r="H258" s="1">
        <v>62008668291</v>
      </c>
    </row>
    <row r="259" spans="1:8" x14ac:dyDescent="0.25">
      <c r="A259" s="1" t="s">
        <v>291</v>
      </c>
      <c r="B259" s="1" t="s">
        <v>11</v>
      </c>
      <c r="C259" s="2">
        <v>45131</v>
      </c>
      <c r="D259" s="2">
        <v>45131</v>
      </c>
      <c r="E259" s="1" t="s">
        <v>12</v>
      </c>
      <c r="F259" s="1" t="s">
        <v>13</v>
      </c>
      <c r="G259" s="1" t="str">
        <f>IF(H259="","",IFERROR(INDEX(tblOrgs[Client Name],MATCH(H259,tblOrgs[Client ABN],0)),""))</f>
        <v>RA Smith Contracting Pty Ltd</v>
      </c>
      <c r="H259" s="1">
        <v>65006694702</v>
      </c>
    </row>
    <row r="260" spans="1:8" x14ac:dyDescent="0.25">
      <c r="A260" s="1" t="s">
        <v>241</v>
      </c>
      <c r="B260" s="1" t="s">
        <v>11</v>
      </c>
      <c r="C260" s="2">
        <v>45131</v>
      </c>
      <c r="D260" s="2">
        <v>45131</v>
      </c>
      <c r="E260" s="1" t="s">
        <v>12</v>
      </c>
      <c r="F260" s="1" t="s">
        <v>13</v>
      </c>
      <c r="G260" s="1" t="str">
        <f>IF(H260="","",IFERROR(INDEX(tblOrgs[Client Name],MATCH(H260,tblOrgs[Client ABN],0)),""))</f>
        <v>As you like it Landscaping Pty Ltd</v>
      </c>
      <c r="H260" s="1">
        <v>51064081956</v>
      </c>
    </row>
    <row r="261" spans="1:8" x14ac:dyDescent="0.25">
      <c r="A261" s="1" t="s">
        <v>317</v>
      </c>
      <c r="B261" s="1" t="s">
        <v>11</v>
      </c>
      <c r="C261" s="2">
        <v>45130</v>
      </c>
      <c r="D261" s="2">
        <v>45130</v>
      </c>
      <c r="E261" s="1" t="s">
        <v>12</v>
      </c>
      <c r="F261" s="1" t="s">
        <v>62</v>
      </c>
      <c r="G261" s="1" t="str">
        <f>IF(H261="","",IFERROR(INDEX(tblOrgs[Client Name],MATCH(H261,tblOrgs[Client ABN],0)),""))</f>
        <v>STG Pumps Pty Ltd</v>
      </c>
      <c r="H261" s="1">
        <v>61602493872</v>
      </c>
    </row>
    <row r="262" spans="1:8" x14ac:dyDescent="0.25">
      <c r="A262" s="1" t="s">
        <v>267</v>
      </c>
      <c r="B262" s="1" t="s">
        <v>11</v>
      </c>
      <c r="C262" s="2">
        <v>45149</v>
      </c>
      <c r="D262" s="2">
        <v>45149</v>
      </c>
      <c r="E262" s="1" t="s">
        <v>12</v>
      </c>
      <c r="F262" s="1" t="s">
        <v>13</v>
      </c>
      <c r="G262" s="1" t="str">
        <f>IF(H262="","",IFERROR(INDEX(tblOrgs[Client Name],MATCH(H262,tblOrgs[Client ABN],0)),""))</f>
        <v>HL Landscapes Pty Ltd</v>
      </c>
      <c r="H262" s="1">
        <v>92119886734</v>
      </c>
    </row>
    <row r="263" spans="1:8" x14ac:dyDescent="0.25">
      <c r="A263" s="1" t="s">
        <v>254</v>
      </c>
      <c r="B263" s="1" t="s">
        <v>11</v>
      </c>
      <c r="C263" s="2">
        <v>45152</v>
      </c>
      <c r="D263" s="2">
        <v>45152</v>
      </c>
      <c r="E263" s="1" t="s">
        <v>12</v>
      </c>
      <c r="F263" s="1" t="s">
        <v>13</v>
      </c>
      <c r="G263" s="1" t="str">
        <f>IF(H263="","",IFERROR(INDEX(tblOrgs[Client Name],MATCH(H263,tblOrgs[Client ABN],0)),""))</f>
        <v>Earthtek Excavations Pty Ltd</v>
      </c>
      <c r="H263" s="1">
        <v>54090536575</v>
      </c>
    </row>
    <row r="264" spans="1:8" x14ac:dyDescent="0.25">
      <c r="A264" s="1" t="s">
        <v>315</v>
      </c>
      <c r="B264" s="1" t="s">
        <v>11</v>
      </c>
      <c r="C264" s="2">
        <v>45152</v>
      </c>
      <c r="D264" s="2">
        <v>45152</v>
      </c>
      <c r="E264" s="1" t="s">
        <v>12</v>
      </c>
      <c r="F264" s="1" t="s">
        <v>62</v>
      </c>
      <c r="G264" s="1" t="str">
        <f>IF(H264="","",IFERROR(INDEX(tblOrgs[Client Name],MATCH(H264,tblOrgs[Client ABN],0)),""))</f>
        <v>Earthtek Excavations Pty Ltd</v>
      </c>
      <c r="H264" s="1">
        <v>54090536575</v>
      </c>
    </row>
    <row r="265" spans="1:8" x14ac:dyDescent="0.25">
      <c r="A265" s="1" t="s">
        <v>270</v>
      </c>
      <c r="B265" s="1" t="s">
        <v>11</v>
      </c>
      <c r="C265" s="2">
        <v>45150</v>
      </c>
      <c r="D265" s="2">
        <v>45150</v>
      </c>
      <c r="E265" s="1" t="s">
        <v>12</v>
      </c>
      <c r="F265" s="1" t="s">
        <v>13</v>
      </c>
      <c r="G265" s="1" t="str">
        <f>IF(H265="","",IFERROR(INDEX(tblOrgs[Client Name],MATCH(H265,tblOrgs[Client ABN],0)),""))</f>
        <v>JKR Group Australia Pty Ltd</v>
      </c>
      <c r="H265" s="1">
        <v>98608665434</v>
      </c>
    </row>
    <row r="266" spans="1:8" x14ac:dyDescent="0.25">
      <c r="A266" s="1" t="s">
        <v>246</v>
      </c>
      <c r="B266" s="1" t="s">
        <v>11</v>
      </c>
      <c r="C266" s="2">
        <v>45120</v>
      </c>
      <c r="D266" s="2">
        <v>45120</v>
      </c>
      <c r="E266" s="1" t="s">
        <v>12</v>
      </c>
      <c r="F266" s="1" t="s">
        <v>13</v>
      </c>
      <c r="G266" s="1" t="str">
        <f>IF(H266="","",IFERROR(INDEX(tblOrgs[Client Name],MATCH(H266,tblOrgs[Client ABN],0)),""))</f>
        <v>Brent Young Cranes Pty Ltd</v>
      </c>
      <c r="H266" s="1">
        <v>74795954655</v>
      </c>
    </row>
    <row r="267" spans="1:8" x14ac:dyDescent="0.25">
      <c r="A267" s="1" t="s">
        <v>253</v>
      </c>
      <c r="B267" s="1" t="s">
        <v>11</v>
      </c>
      <c r="C267" s="2">
        <v>45168</v>
      </c>
      <c r="D267" s="2">
        <v>45168</v>
      </c>
      <c r="E267" s="1" t="s">
        <v>12</v>
      </c>
      <c r="F267" s="1" t="s">
        <v>13</v>
      </c>
      <c r="G267" s="1" t="str">
        <f>IF(H267="","",IFERROR(INDEX(tblOrgs[Client Name],MATCH(H267,tblOrgs[Client ABN],0)),""))</f>
        <v>Durkin Construction Pty Ltd</v>
      </c>
      <c r="H267" s="1">
        <v>73615246118</v>
      </c>
    </row>
    <row r="268" spans="1:8" x14ac:dyDescent="0.25">
      <c r="A268" s="1" t="s">
        <v>310</v>
      </c>
      <c r="B268" s="1" t="s">
        <v>11</v>
      </c>
      <c r="C268" s="2">
        <v>45183</v>
      </c>
      <c r="D268" s="2">
        <v>45183</v>
      </c>
      <c r="E268" s="1" t="s">
        <v>12</v>
      </c>
      <c r="F268" s="1" t="s">
        <v>13</v>
      </c>
      <c r="G268" s="1" t="str">
        <f>IF(H268="","",IFERROR(INDEX(tblOrgs[Client Name],MATCH(H268,tblOrgs[Client ABN],0)),""))</f>
        <v>Victorian Crane Hire Pty Ltd</v>
      </c>
      <c r="H268" s="1">
        <v>15619105092</v>
      </c>
    </row>
    <row r="269" spans="1:8" x14ac:dyDescent="0.25">
      <c r="A269" s="1" t="s">
        <v>284</v>
      </c>
      <c r="B269" s="1" t="s">
        <v>11</v>
      </c>
      <c r="C269" s="2">
        <v>45169</v>
      </c>
      <c r="D269" s="2">
        <v>45169</v>
      </c>
      <c r="E269" s="1" t="s">
        <v>12</v>
      </c>
      <c r="F269" s="1" t="s">
        <v>13</v>
      </c>
      <c r="G269" s="1" t="str">
        <f>IF(H269="","",IFERROR(INDEX(tblOrgs[Client Name],MATCH(H269,tblOrgs[Client ABN],0)),""))</f>
        <v>Patriot Tankers Pty Ltd</v>
      </c>
      <c r="H269" s="1">
        <v>58133136400</v>
      </c>
    </row>
    <row r="270" spans="1:8" x14ac:dyDescent="0.25">
      <c r="A270" s="1" t="s">
        <v>297</v>
      </c>
      <c r="B270" s="1" t="s">
        <v>11</v>
      </c>
      <c r="C270" s="2">
        <v>45170</v>
      </c>
      <c r="D270" s="2">
        <v>45170</v>
      </c>
      <c r="E270" s="1" t="s">
        <v>12</v>
      </c>
      <c r="F270" s="1" t="s">
        <v>13</v>
      </c>
      <c r="G270" s="1" t="str">
        <f>IF(H270="","",IFERROR(INDEX(tblOrgs[Client Name],MATCH(H270,tblOrgs[Client ABN],0)),""))</f>
        <v>Skeffmac Pty Ltd</v>
      </c>
      <c r="H270" s="1">
        <v>26639030774</v>
      </c>
    </row>
    <row r="271" spans="1:8" x14ac:dyDescent="0.25">
      <c r="A271" s="1" t="s">
        <v>242</v>
      </c>
      <c r="B271" s="1" t="s">
        <v>11</v>
      </c>
      <c r="C271" s="2">
        <v>45129</v>
      </c>
      <c r="D271" s="2">
        <v>45129</v>
      </c>
      <c r="E271" s="1" t="s">
        <v>12</v>
      </c>
      <c r="F271" s="1" t="s">
        <v>13</v>
      </c>
      <c r="G271" s="1" t="str">
        <f>IF(H271="","",IFERROR(INDEX(tblOrgs[Client Name],MATCH(H271,tblOrgs[Client ABN],0)),""))</f>
        <v>Ash (Vic) Pty Ltd</v>
      </c>
      <c r="H271" s="1">
        <v>29115372613</v>
      </c>
    </row>
    <row r="272" spans="1:8" x14ac:dyDescent="0.25">
      <c r="A272" s="1" t="s">
        <v>300</v>
      </c>
      <c r="B272" s="1" t="s">
        <v>11</v>
      </c>
      <c r="C272" s="2">
        <v>45188</v>
      </c>
      <c r="D272" s="2">
        <v>45188</v>
      </c>
      <c r="E272" s="1" t="s">
        <v>12</v>
      </c>
      <c r="F272" s="1" t="s">
        <v>13</v>
      </c>
      <c r="G272" s="1" t="str">
        <f>IF(H272="","",IFERROR(INDEX(tblOrgs[Client Name],MATCH(H272,tblOrgs[Client ABN],0)),""))</f>
        <v>Speno Rail Maintenance Australia Pty Ltd</v>
      </c>
      <c r="H272" s="1">
        <v>30009206722</v>
      </c>
    </row>
    <row r="273" spans="1:8" x14ac:dyDescent="0.25">
      <c r="A273" s="1" t="s">
        <v>249</v>
      </c>
      <c r="B273" s="1" t="s">
        <v>11</v>
      </c>
      <c r="C273" s="2">
        <v>45177</v>
      </c>
      <c r="D273" s="2">
        <v>45177</v>
      </c>
      <c r="E273" s="1" t="s">
        <v>12</v>
      </c>
      <c r="F273" s="1" t="s">
        <v>13</v>
      </c>
      <c r="G273" s="1" t="str">
        <f>IF(H273="","",IFERROR(INDEX(tblOrgs[Client Name],MATCH(H273,tblOrgs[Client ABN],0)),""))</f>
        <v>Coates Hire Operations Pty Limited</v>
      </c>
      <c r="H273" s="1">
        <v>99074126971</v>
      </c>
    </row>
    <row r="274" spans="1:8" x14ac:dyDescent="0.25">
      <c r="A274" s="1" t="s">
        <v>243</v>
      </c>
      <c r="B274" s="1" t="s">
        <v>11</v>
      </c>
      <c r="C274" s="2">
        <v>45184</v>
      </c>
      <c r="D274" s="2">
        <v>45184</v>
      </c>
      <c r="E274" s="1" t="s">
        <v>12</v>
      </c>
      <c r="F274" s="1" t="s">
        <v>13</v>
      </c>
      <c r="G274" s="1" t="str">
        <f>IF(H274="","",IFERROR(INDEX(tblOrgs[Client Name],MATCH(H274,tblOrgs[Client ABN],0)),""))</f>
        <v>Astern Group Pty Ltd</v>
      </c>
      <c r="H274" s="1">
        <v>68609740105</v>
      </c>
    </row>
    <row r="275" spans="1:8" x14ac:dyDescent="0.25">
      <c r="A275" s="1" t="s">
        <v>247</v>
      </c>
      <c r="B275" s="1" t="s">
        <v>11</v>
      </c>
      <c r="C275" s="2">
        <v>45224</v>
      </c>
      <c r="D275" s="2">
        <v>45224</v>
      </c>
      <c r="E275" s="1" t="s">
        <v>12</v>
      </c>
      <c r="F275" s="1" t="s">
        <v>13</v>
      </c>
      <c r="G275" s="1" t="str">
        <f>IF(H275="","",IFERROR(INDEX(tblOrgs[Client Name],MATCH(H275,tblOrgs[Client ABN],0)),""))</f>
        <v>Challenge Civil Group Pty Ltd</v>
      </c>
      <c r="H275" s="1">
        <v>34155134795</v>
      </c>
    </row>
    <row r="276" spans="1:8" x14ac:dyDescent="0.25">
      <c r="A276" s="1" t="s">
        <v>275</v>
      </c>
      <c r="B276" s="1" t="s">
        <v>11</v>
      </c>
      <c r="C276" s="2">
        <v>45266</v>
      </c>
      <c r="D276" s="2">
        <v>45266</v>
      </c>
      <c r="E276" s="1" t="s">
        <v>12</v>
      </c>
      <c r="F276" s="1" t="s">
        <v>13</v>
      </c>
      <c r="G276" s="1" t="str">
        <f>IF(H276="","",IFERROR(INDEX(tblOrgs[Client Name],MATCH(H276,tblOrgs[Client ABN],0)),""))</f>
        <v>LCR Group Pty Ltd</v>
      </c>
      <c r="H276" s="1">
        <v>78095626798</v>
      </c>
    </row>
    <row r="277" spans="1:8" x14ac:dyDescent="0.25">
      <c r="A277" s="1" t="s">
        <v>273</v>
      </c>
      <c r="B277" s="1" t="s">
        <v>11</v>
      </c>
      <c r="C277" s="2">
        <v>45221</v>
      </c>
      <c r="D277" s="2">
        <v>45221</v>
      </c>
      <c r="E277" s="1" t="s">
        <v>12</v>
      </c>
      <c r="F277" s="1" t="s">
        <v>13</v>
      </c>
      <c r="G277" s="1" t="str">
        <f>IF(H277="","",IFERROR(INDEX(tblOrgs[Client Name],MATCH(H277,tblOrgs[Client ABN],0)),""))</f>
        <v>Kenny Constructions (Aust.) Pty. Limited</v>
      </c>
      <c r="H277" s="1">
        <v>74096169416</v>
      </c>
    </row>
    <row r="278" spans="1:8" x14ac:dyDescent="0.25">
      <c r="A278" s="1" t="s">
        <v>280</v>
      </c>
      <c r="B278" s="1" t="s">
        <v>11</v>
      </c>
      <c r="C278" s="2">
        <v>45231</v>
      </c>
      <c r="D278" s="2">
        <v>45231</v>
      </c>
      <c r="E278" s="1" t="s">
        <v>12</v>
      </c>
      <c r="F278" s="1" t="s">
        <v>13</v>
      </c>
      <c r="G278" s="1" t="str">
        <f>IF(H278="","",IFERROR(INDEX(tblOrgs[Client Name],MATCH(H278,tblOrgs[Client ABN],0)),""))</f>
        <v>Modcast Pty Ltd</v>
      </c>
      <c r="H278" s="1">
        <v>30626198847</v>
      </c>
    </row>
    <row r="279" spans="1:8" x14ac:dyDescent="0.25">
      <c r="A279" s="1" t="s">
        <v>319</v>
      </c>
      <c r="B279" s="1" t="s">
        <v>11</v>
      </c>
      <c r="C279" s="2">
        <v>45222</v>
      </c>
      <c r="D279" s="2">
        <v>45222</v>
      </c>
      <c r="E279" s="1" t="s">
        <v>12</v>
      </c>
      <c r="F279" s="1" t="s">
        <v>62</v>
      </c>
      <c r="G279" s="1" t="str">
        <f>IF(H279="","",IFERROR(INDEX(tblOrgs[Client Name],MATCH(H279,tblOrgs[Client ABN],0)),""))</f>
        <v>Wallace Concrete Pumping Pty Ltd</v>
      </c>
      <c r="H279" s="1">
        <v>49157958177</v>
      </c>
    </row>
    <row r="280" spans="1:8" x14ac:dyDescent="0.25">
      <c r="A280" s="1" t="s">
        <v>260</v>
      </c>
      <c r="B280" s="1" t="s">
        <v>11</v>
      </c>
      <c r="C280" s="2">
        <v>45223</v>
      </c>
      <c r="D280" s="2">
        <v>45223</v>
      </c>
      <c r="E280" s="1" t="s">
        <v>12</v>
      </c>
      <c r="F280" s="1" t="s">
        <v>13</v>
      </c>
      <c r="G280" s="1" t="str">
        <f>IF(H280="","",IFERROR(INDEX(tblOrgs[Client Name],MATCH(H280,tblOrgs[Client ABN],0)),""))</f>
        <v>Focus Hire Pty Ltd</v>
      </c>
      <c r="H280" s="1">
        <v>27624650406</v>
      </c>
    </row>
    <row r="281" spans="1:8" x14ac:dyDescent="0.25">
      <c r="A281" s="1" t="s">
        <v>268</v>
      </c>
      <c r="B281" s="1" t="s">
        <v>11</v>
      </c>
      <c r="C281" s="2">
        <v>45084</v>
      </c>
      <c r="D281" s="2">
        <v>45084</v>
      </c>
      <c r="E281" s="1" t="s">
        <v>12</v>
      </c>
      <c r="F281" s="1" t="s">
        <v>13</v>
      </c>
      <c r="G281" s="1" t="str">
        <f>IF(H281="","",IFERROR(INDEX(tblOrgs[Client Name],MATCH(H281,tblOrgs[Client ABN],0)),""))</f>
        <v>Holcim (Australia) Pty Ltd</v>
      </c>
      <c r="H281" s="1">
        <v>87099732297</v>
      </c>
    </row>
    <row r="282" spans="1:8" x14ac:dyDescent="0.25">
      <c r="A282" s="1" t="s">
        <v>301</v>
      </c>
      <c r="B282" s="1" t="s">
        <v>11</v>
      </c>
      <c r="C282" s="2">
        <v>45232</v>
      </c>
      <c r="D282" s="2">
        <v>45232</v>
      </c>
      <c r="E282" s="1" t="s">
        <v>12</v>
      </c>
      <c r="F282" s="1" t="s">
        <v>13</v>
      </c>
      <c r="G282" s="1" t="str">
        <f>IF(H282="","",IFERROR(INDEX(tblOrgs[Client Name],MATCH(H282,tblOrgs[Client ABN],0)),""))</f>
        <v>Stephens Plant Hire Pty Ltd</v>
      </c>
      <c r="H282" s="1">
        <v>41612483011</v>
      </c>
    </row>
    <row r="283" spans="1:8" x14ac:dyDescent="0.25">
      <c r="A283" s="1" t="s">
        <v>278</v>
      </c>
      <c r="B283" s="1" t="s">
        <v>11</v>
      </c>
      <c r="C283" s="2">
        <v>45228</v>
      </c>
      <c r="D283" s="2">
        <v>45228</v>
      </c>
      <c r="E283" s="1" t="s">
        <v>12</v>
      </c>
      <c r="F283" s="1" t="s">
        <v>13</v>
      </c>
      <c r="G283" s="1" t="str">
        <f>IF(H283="","",IFERROR(INDEX(tblOrgs[Client Name],MATCH(H283,tblOrgs[Client ABN],0)),""))</f>
        <v>Mataniel Laurate Pty Ltd</v>
      </c>
      <c r="H283" s="1">
        <v>37094906028</v>
      </c>
    </row>
    <row r="284" spans="1:8" x14ac:dyDescent="0.25">
      <c r="A284" s="1" t="s">
        <v>239</v>
      </c>
      <c r="B284" s="1" t="s">
        <v>11</v>
      </c>
      <c r="C284" s="2">
        <v>45229</v>
      </c>
      <c r="D284" s="2">
        <v>45229</v>
      </c>
      <c r="E284" s="1" t="s">
        <v>12</v>
      </c>
      <c r="F284" s="1" t="s">
        <v>13</v>
      </c>
      <c r="G284" s="1" t="str">
        <f>IF(H284="","",IFERROR(INDEX(tblOrgs[Client Name],MATCH(H284,tblOrgs[Client ABN],0)),""))</f>
        <v>Allfasteners Pty Ltd</v>
      </c>
      <c r="H284" s="1">
        <v>86766075300</v>
      </c>
    </row>
    <row r="285" spans="1:8" x14ac:dyDescent="0.25">
      <c r="A285" s="1" t="s">
        <v>257</v>
      </c>
      <c r="B285" s="1" t="s">
        <v>11</v>
      </c>
      <c r="C285" s="2">
        <v>44974</v>
      </c>
      <c r="D285" s="2">
        <v>44974</v>
      </c>
      <c r="E285" s="1" t="s">
        <v>12</v>
      </c>
      <c r="F285" s="1" t="s">
        <v>13</v>
      </c>
      <c r="G285" s="1" t="str">
        <f>IF(H285="","",IFERROR(INDEX(tblOrgs[Client Name],MATCH(H285,tblOrgs[Client ABN],0)),""))</f>
        <v>Evolution Group Holdings Pty Ltd</v>
      </c>
      <c r="H285" s="1">
        <v>14147834133</v>
      </c>
    </row>
    <row r="286" spans="1:8" x14ac:dyDescent="0.25">
      <c r="A286" s="1" t="s">
        <v>295</v>
      </c>
      <c r="B286" s="1" t="s">
        <v>11</v>
      </c>
      <c r="C286" s="2">
        <v>45231</v>
      </c>
      <c r="D286" s="2">
        <v>45231</v>
      </c>
      <c r="E286" s="1" t="s">
        <v>12</v>
      </c>
      <c r="F286" s="1" t="s">
        <v>13</v>
      </c>
      <c r="G286" s="1" t="str">
        <f>IF(H286="","",IFERROR(INDEX(tblOrgs[Client Name],MATCH(H286,tblOrgs[Client ABN],0)),""))</f>
        <v>Reinforced Earth Pty Ltd</v>
      </c>
      <c r="H286" s="1">
        <v>53001215327</v>
      </c>
    </row>
    <row r="287" spans="1:8" x14ac:dyDescent="0.25">
      <c r="A287" s="1" t="s">
        <v>232</v>
      </c>
      <c r="B287" s="1" t="s">
        <v>11</v>
      </c>
      <c r="C287" s="2">
        <v>45251</v>
      </c>
      <c r="D287" s="2">
        <v>45251</v>
      </c>
      <c r="E287" s="1" t="s">
        <v>12</v>
      </c>
      <c r="F287" s="1" t="s">
        <v>13</v>
      </c>
      <c r="G287" s="1" t="str">
        <f>IF(H287="","",IFERROR(INDEX(tblOrgs[Client Name],MATCH(H287,tblOrgs[Client ABN],0)),""))</f>
        <v>24/7 Fuels Pty Ltd</v>
      </c>
      <c r="H287" s="1">
        <v>17613791512</v>
      </c>
    </row>
    <row r="288" spans="1:8" x14ac:dyDescent="0.25">
      <c r="A288" s="1" t="s">
        <v>251</v>
      </c>
      <c r="B288" s="1" t="s">
        <v>11</v>
      </c>
      <c r="C288" s="2">
        <v>45252</v>
      </c>
      <c r="D288" s="2">
        <v>45252</v>
      </c>
      <c r="E288" s="1" t="s">
        <v>12</v>
      </c>
      <c r="F288" s="1" t="s">
        <v>13</v>
      </c>
      <c r="G288" s="1" t="str">
        <f>IF(H288="","",IFERROR(INDEX(tblOrgs[Client Name],MATCH(H288,tblOrgs[Client ABN],0)),""))</f>
        <v>Cono Services Pty Ltd</v>
      </c>
      <c r="H288" s="1">
        <v>90167205656</v>
      </c>
    </row>
    <row r="289" spans="1:8" x14ac:dyDescent="0.25">
      <c r="A289" s="1" t="s">
        <v>306</v>
      </c>
      <c r="B289" s="1" t="s">
        <v>11</v>
      </c>
      <c r="C289" s="2">
        <v>45247</v>
      </c>
      <c r="D289" s="2">
        <v>45247</v>
      </c>
      <c r="E289" s="1" t="s">
        <v>12</v>
      </c>
      <c r="F289" s="1" t="s">
        <v>13</v>
      </c>
      <c r="G289" s="1" t="str">
        <f>IF(H289="","",IFERROR(INDEX(tblOrgs[Client Name],MATCH(H289,tblOrgs[Client ABN],0)),""))</f>
        <v>T. Eilbeck &amp; Son Pty Ltd</v>
      </c>
      <c r="H289" s="1">
        <v>22295128214</v>
      </c>
    </row>
    <row r="290" spans="1:8" x14ac:dyDescent="0.25">
      <c r="A290" s="1" t="s">
        <v>304</v>
      </c>
      <c r="B290" s="1" t="s">
        <v>11</v>
      </c>
      <c r="C290" s="2">
        <v>45246</v>
      </c>
      <c r="D290" s="2">
        <v>45246</v>
      </c>
      <c r="E290" s="1" t="s">
        <v>12</v>
      </c>
      <c r="F290" s="1" t="s">
        <v>13</v>
      </c>
      <c r="G290" s="1" t="str">
        <f>IF(H290="","",IFERROR(INDEX(tblOrgs[Client Name],MATCH(H290,tblOrgs[Client ABN],0)),""))</f>
        <v>Symal Group Pty Ltd</v>
      </c>
      <c r="H290" s="1">
        <v>72615255466</v>
      </c>
    </row>
    <row r="291" spans="1:8" x14ac:dyDescent="0.25">
      <c r="A291" s="1" t="s">
        <v>309</v>
      </c>
      <c r="B291" s="1" t="s">
        <v>11</v>
      </c>
      <c r="C291" s="2">
        <v>45256</v>
      </c>
      <c r="D291" s="2">
        <v>45256</v>
      </c>
      <c r="E291" s="1" t="s">
        <v>12</v>
      </c>
      <c r="F291" s="1" t="s">
        <v>13</v>
      </c>
      <c r="G291" s="1" t="str">
        <f>IF(H291="","",IFERROR(INDEX(tblOrgs[Client Name],MATCH(H291,tblOrgs[Client ABN],0)),""))</f>
        <v>Trevi Australia Pty Ltd</v>
      </c>
      <c r="H291" s="1">
        <v>91161293401</v>
      </c>
    </row>
    <row r="292" spans="1:8" x14ac:dyDescent="0.25">
      <c r="A292" s="1" t="s">
        <v>299</v>
      </c>
      <c r="B292" s="1" t="s">
        <v>11</v>
      </c>
      <c r="C292" s="2">
        <v>45252</v>
      </c>
      <c r="D292" s="2">
        <v>45252</v>
      </c>
      <c r="E292" s="1" t="s">
        <v>12</v>
      </c>
      <c r="F292" s="1" t="s">
        <v>13</v>
      </c>
      <c r="G292" s="1" t="str">
        <f>IF(H292="","",IFERROR(INDEX(tblOrgs[Client Name],MATCH(H292,tblOrgs[Client ABN],0)),""))</f>
        <v>Specialized Access Pty Ltd</v>
      </c>
      <c r="H292" s="1">
        <v>48642527259</v>
      </c>
    </row>
    <row r="293" spans="1:8" x14ac:dyDescent="0.25">
      <c r="A293" s="1" t="s">
        <v>292</v>
      </c>
      <c r="B293" s="1" t="s">
        <v>11</v>
      </c>
      <c r="C293" s="2">
        <v>45259</v>
      </c>
      <c r="D293" s="2">
        <v>45259</v>
      </c>
      <c r="E293" s="1" t="s">
        <v>12</v>
      </c>
      <c r="F293" s="1" t="s">
        <v>13</v>
      </c>
      <c r="G293" s="1" t="str">
        <f>IF(H293="","",IFERROR(INDEX(tblOrgs[Client Name],MATCH(H293,tblOrgs[Client ABN],0)),""))</f>
        <v>RAF Civil Pty Ltd</v>
      </c>
      <c r="H293" s="1">
        <v>53623928003</v>
      </c>
    </row>
    <row r="294" spans="1:8" x14ac:dyDescent="0.25">
      <c r="A294" s="1" t="s">
        <v>266</v>
      </c>
      <c r="B294" s="1" t="s">
        <v>11</v>
      </c>
      <c r="C294" s="2">
        <v>45268</v>
      </c>
      <c r="D294" s="2">
        <v>45268</v>
      </c>
      <c r="E294" s="1" t="s">
        <v>12</v>
      </c>
      <c r="F294" s="1" t="s">
        <v>13</v>
      </c>
      <c r="G294" s="1" t="str">
        <f>IF(H294="","",IFERROR(INDEX(tblOrgs[Client Name],MATCH(H294,tblOrgs[Client ABN],0)),""))</f>
        <v>Hex Hire Pty Ltd</v>
      </c>
      <c r="H294" s="1">
        <v>74848500748</v>
      </c>
    </row>
    <row r="295" spans="1:8" x14ac:dyDescent="0.25">
      <c r="A295" s="1" t="s">
        <v>265</v>
      </c>
      <c r="B295" s="1" t="s">
        <v>11</v>
      </c>
      <c r="C295" s="2">
        <v>45268</v>
      </c>
      <c r="D295" s="2">
        <v>45268</v>
      </c>
      <c r="E295" s="1" t="s">
        <v>12</v>
      </c>
      <c r="F295" s="1" t="s">
        <v>13</v>
      </c>
      <c r="G295" s="1" t="str">
        <f>IF(H295="","",IFERROR(INDEX(tblOrgs[Client Name],MATCH(H295,tblOrgs[Client ABN],0)),""))</f>
        <v>HDD Drilling Pty Ltd</v>
      </c>
      <c r="H295" s="1">
        <v>20654502557</v>
      </c>
    </row>
    <row r="296" spans="1:8" x14ac:dyDescent="0.25">
      <c r="A296" s="1" t="s">
        <v>234</v>
      </c>
      <c r="B296" s="1" t="s">
        <v>11</v>
      </c>
      <c r="C296" s="2">
        <v>45218</v>
      </c>
      <c r="D296" s="2">
        <v>45218</v>
      </c>
      <c r="E296" s="1" t="s">
        <v>12</v>
      </c>
      <c r="F296" s="1" t="s">
        <v>13</v>
      </c>
      <c r="G296" s="1" t="str">
        <f>IF(H296="","",IFERROR(INDEX(tblOrgs[Client Name],MATCH(H296,tblOrgs[Client ABN],0)),""))</f>
        <v>Above Scaffolding Pty Ltd</v>
      </c>
      <c r="H296" s="1">
        <v>74073575201</v>
      </c>
    </row>
    <row r="297" spans="1:8" x14ac:dyDescent="0.25">
      <c r="A297" s="1" t="s">
        <v>236</v>
      </c>
      <c r="B297" s="1" t="s">
        <v>11</v>
      </c>
      <c r="C297" s="2">
        <v>45278</v>
      </c>
      <c r="D297" s="2">
        <v>45278</v>
      </c>
      <c r="E297" s="1" t="s">
        <v>12</v>
      </c>
      <c r="F297" s="1" t="s">
        <v>13</v>
      </c>
      <c r="G297" s="1" t="str">
        <f>IF(H297="","",IFERROR(INDEX(tblOrgs[Client Name],MATCH(H297,tblOrgs[Client ABN],0)),""))</f>
        <v>Adamson Earthmovers Services Pty Ltd</v>
      </c>
      <c r="H297" s="1">
        <v>83641467558</v>
      </c>
    </row>
    <row r="298" spans="1:8" x14ac:dyDescent="0.25">
      <c r="A298" s="1" t="s">
        <v>354</v>
      </c>
      <c r="B298" s="1" t="s">
        <v>11</v>
      </c>
      <c r="C298" s="2">
        <v>45322</v>
      </c>
      <c r="D298" s="2">
        <v>45322</v>
      </c>
      <c r="E298" s="1" t="s">
        <v>12</v>
      </c>
      <c r="F298" s="1" t="s">
        <v>13</v>
      </c>
      <c r="G298" s="1" t="str">
        <f>IF(H298="","",IFERROR(INDEX(tblOrgs[Client Name],MATCH(H298,tblOrgs[Client ABN],0)),""))</f>
        <v>Eire Midland Constructions Pty Ltd</v>
      </c>
      <c r="H298" s="1">
        <v>45079929687</v>
      </c>
    </row>
    <row r="299" spans="1:8" x14ac:dyDescent="0.25">
      <c r="A299" s="1" t="s">
        <v>339</v>
      </c>
      <c r="B299" s="1" t="s">
        <v>11</v>
      </c>
      <c r="C299" s="2">
        <v>45301</v>
      </c>
      <c r="D299" s="2">
        <v>45301</v>
      </c>
      <c r="E299" s="1" t="s">
        <v>12</v>
      </c>
      <c r="F299" s="1" t="s">
        <v>13</v>
      </c>
      <c r="G299" s="1" t="str">
        <f>IF(H299="","",IFERROR(INDEX(tblOrgs[Client Name],MATCH(H299,tblOrgs[Client ABN],0)),""))</f>
        <v>BLASK Pty Ltd</v>
      </c>
      <c r="H299" s="1">
        <v>41813267182</v>
      </c>
    </row>
    <row r="300" spans="1:8" x14ac:dyDescent="0.25">
      <c r="A300" s="1" t="s">
        <v>398</v>
      </c>
      <c r="B300" s="1" t="s">
        <v>11</v>
      </c>
      <c r="C300" s="2">
        <v>45316</v>
      </c>
      <c r="D300" s="2">
        <v>45316</v>
      </c>
      <c r="E300" s="1" t="s">
        <v>12</v>
      </c>
      <c r="F300" s="1" t="s">
        <v>13</v>
      </c>
      <c r="G300" s="1" t="str">
        <f>IF(H300="","",IFERROR(INDEX(tblOrgs[Client Name],MATCH(H300,tblOrgs[Client ABN],0)),""))</f>
        <v>Rail Control Systems Australia Pty Ltd</v>
      </c>
      <c r="H300" s="1">
        <v>42137934055</v>
      </c>
    </row>
    <row r="301" spans="1:8" x14ac:dyDescent="0.25">
      <c r="A301" s="1" t="s">
        <v>422</v>
      </c>
      <c r="B301" s="1" t="s">
        <v>11</v>
      </c>
      <c r="C301" s="2">
        <v>45302</v>
      </c>
      <c r="D301" s="2">
        <v>45302</v>
      </c>
      <c r="E301" s="1" t="s">
        <v>12</v>
      </c>
      <c r="F301" s="1" t="s">
        <v>13</v>
      </c>
      <c r="G301" s="1" t="str">
        <f>IF(H301="","",IFERROR(INDEX(tblOrgs[Client Name],MATCH(H301,tblOrgs[Client ABN],0)),""))</f>
        <v>Wessel Drilling Pty Ltd</v>
      </c>
      <c r="H301" s="1">
        <v>88604544023</v>
      </c>
    </row>
    <row r="302" spans="1:8" x14ac:dyDescent="0.25">
      <c r="A302" s="1" t="s">
        <v>411</v>
      </c>
      <c r="B302" s="1" t="s">
        <v>11</v>
      </c>
      <c r="C302" s="2">
        <v>45308</v>
      </c>
      <c r="D302" s="2">
        <v>45308</v>
      </c>
      <c r="E302" s="1" t="s">
        <v>12</v>
      </c>
      <c r="F302" s="1" t="s">
        <v>13</v>
      </c>
      <c r="G302" s="1" t="str">
        <f>IF(H302="","",IFERROR(INDEX(tblOrgs[Client Name],MATCH(H302,tblOrgs[Client ABN],0)),""))</f>
        <v>Strategic Drilling Services Services Pty Ltd</v>
      </c>
      <c r="H302" s="1">
        <v>20142894844</v>
      </c>
    </row>
    <row r="303" spans="1:8" x14ac:dyDescent="0.25">
      <c r="A303" s="1" t="s">
        <v>259</v>
      </c>
      <c r="B303" s="1" t="s">
        <v>11</v>
      </c>
      <c r="C303" s="2">
        <v>45221</v>
      </c>
      <c r="D303" s="2">
        <v>45221</v>
      </c>
      <c r="E303" s="1" t="s">
        <v>12</v>
      </c>
      <c r="F303" s="1" t="s">
        <v>13</v>
      </c>
      <c r="G303" s="1" t="str">
        <f>IF(H303="","",IFERROR(INDEX(tblOrgs[Client Name],MATCH(H303,tblOrgs[Client ABN],0)),""))</f>
        <v>Flomar Pty Ltd</v>
      </c>
      <c r="H303" s="1">
        <v>24617070407</v>
      </c>
    </row>
    <row r="304" spans="1:8" x14ac:dyDescent="0.25">
      <c r="A304" s="1" t="s">
        <v>385</v>
      </c>
      <c r="B304" s="1" t="s">
        <v>11</v>
      </c>
      <c r="C304" s="2">
        <v>45322</v>
      </c>
      <c r="D304" s="2">
        <v>45322</v>
      </c>
      <c r="E304" s="1" t="s">
        <v>12</v>
      </c>
      <c r="F304" s="1" t="s">
        <v>13</v>
      </c>
      <c r="G304" s="1" t="str">
        <f>IF(H304="","",IFERROR(INDEX(tblOrgs[Client Name],MATCH(H304,tblOrgs[Client ABN],0)),""))</f>
        <v>Mitchcon Pty Ltd</v>
      </c>
      <c r="H304" s="1">
        <v>82060623752</v>
      </c>
    </row>
    <row r="305" spans="1:8" x14ac:dyDescent="0.25">
      <c r="A305" s="1" t="s">
        <v>363</v>
      </c>
      <c r="B305" s="1" t="s">
        <v>11</v>
      </c>
      <c r="C305" s="2">
        <v>45348</v>
      </c>
      <c r="D305" s="2">
        <v>45348</v>
      </c>
      <c r="E305" s="1" t="s">
        <v>12</v>
      </c>
      <c r="F305" s="1" t="s">
        <v>13</v>
      </c>
      <c r="G305" s="1" t="str">
        <f>IF(H305="","",IFERROR(INDEX(tblOrgs[Client Name],MATCH(H305,tblOrgs[Client ABN],0)),""))</f>
        <v>Fugen Masonry Contractors (Qld) Pty Limited</v>
      </c>
      <c r="H305" s="1">
        <v>75097686130</v>
      </c>
    </row>
    <row r="306" spans="1:8" x14ac:dyDescent="0.25">
      <c r="A306" s="1" t="s">
        <v>329</v>
      </c>
      <c r="B306" s="1" t="s">
        <v>11</v>
      </c>
      <c r="C306" s="2">
        <v>45322</v>
      </c>
      <c r="D306" s="2">
        <v>45322</v>
      </c>
      <c r="E306" s="1" t="s">
        <v>12</v>
      </c>
      <c r="F306" s="1" t="s">
        <v>13</v>
      </c>
      <c r="G306" s="1" t="str">
        <f>IF(H306="","",IFERROR(INDEX(tblOrgs[Client Name],MATCH(H306,tblOrgs[Client ABN],0)),""))</f>
        <v>Alimak Group Australia Pty Ltd</v>
      </c>
      <c r="H306" s="1">
        <v>80005538947</v>
      </c>
    </row>
    <row r="307" spans="1:8" x14ac:dyDescent="0.25">
      <c r="A307" s="1" t="s">
        <v>391</v>
      </c>
      <c r="B307" s="1" t="s">
        <v>11</v>
      </c>
      <c r="C307" s="2">
        <v>45325</v>
      </c>
      <c r="D307" s="2">
        <v>45325</v>
      </c>
      <c r="E307" s="1" t="s">
        <v>12</v>
      </c>
      <c r="F307" s="1" t="s">
        <v>13</v>
      </c>
      <c r="G307" s="1" t="str">
        <f>IF(H307="","",IFERROR(INDEX(tblOrgs[Client Name],MATCH(H307,tblOrgs[Client ABN],0)),""))</f>
        <v>Pacific Hire Wangaratta Pty Ltd</v>
      </c>
      <c r="H307" s="1">
        <v>15118155785</v>
      </c>
    </row>
    <row r="308" spans="1:8" x14ac:dyDescent="0.25">
      <c r="A308" s="1" t="s">
        <v>308</v>
      </c>
      <c r="B308" s="1" t="s">
        <v>11</v>
      </c>
      <c r="C308" s="2">
        <v>45260</v>
      </c>
      <c r="D308" s="2">
        <v>45260</v>
      </c>
      <c r="E308" s="1" t="s">
        <v>12</v>
      </c>
      <c r="F308" s="1" t="s">
        <v>13</v>
      </c>
      <c r="G308" s="1" t="str">
        <f>IF(H308="","",IFERROR(INDEX(tblOrgs[Client Name],MATCH(H308,tblOrgs[Client ABN],0)),""))</f>
        <v>Taylors Freight Transport Pty Ltd</v>
      </c>
      <c r="H308" s="1">
        <v>91136398126</v>
      </c>
    </row>
    <row r="309" spans="1:8" x14ac:dyDescent="0.25">
      <c r="A309" s="1" t="s">
        <v>412</v>
      </c>
      <c r="B309" s="1" t="s">
        <v>11</v>
      </c>
      <c r="C309" s="2">
        <v>45334</v>
      </c>
      <c r="D309" s="2">
        <v>45334</v>
      </c>
      <c r="E309" s="1" t="s">
        <v>12</v>
      </c>
      <c r="F309" s="1" t="s">
        <v>13</v>
      </c>
      <c r="G309" s="1" t="str">
        <f>IF(H309="","",IFERROR(INDEX(tblOrgs[Client Name],MATCH(H309,tblOrgs[Client ABN],0)),""))</f>
        <v>Suas Civil Pty Ltd</v>
      </c>
      <c r="H309" s="1">
        <v>71630275222</v>
      </c>
    </row>
    <row r="310" spans="1:8" x14ac:dyDescent="0.25">
      <c r="A310" s="1" t="s">
        <v>336</v>
      </c>
      <c r="B310" s="1" t="s">
        <v>11</v>
      </c>
      <c r="C310" s="2">
        <v>45308</v>
      </c>
      <c r="D310" s="2">
        <v>45308</v>
      </c>
      <c r="E310" s="1" t="s">
        <v>12</v>
      </c>
      <c r="F310" s="1" t="s">
        <v>13</v>
      </c>
      <c r="G310" s="1" t="str">
        <f>IF(H310="","",IFERROR(INDEX(tblOrgs[Client Name],MATCH(H310,tblOrgs[Client ABN],0)),""))</f>
        <v>Australian Utilities Management Pty Ltd</v>
      </c>
      <c r="H310" s="1">
        <v>50140551104</v>
      </c>
    </row>
    <row r="311" spans="1:8" x14ac:dyDescent="0.25">
      <c r="A311" s="1" t="s">
        <v>418</v>
      </c>
      <c r="B311" s="1" t="s">
        <v>11</v>
      </c>
      <c r="C311" s="2">
        <v>45345</v>
      </c>
      <c r="D311" s="2">
        <v>45345</v>
      </c>
      <c r="E311" s="1" t="s">
        <v>12</v>
      </c>
      <c r="F311" s="1" t="s">
        <v>13</v>
      </c>
      <c r="G311" s="1" t="str">
        <f>IF(H311="","",IFERROR(INDEX(tblOrgs[Client Name],MATCH(H311,tblOrgs[Client ABN],0)),""))</f>
        <v>Trans Lift Crane Trucks Pty Ltd</v>
      </c>
      <c r="H311" s="1">
        <v>53899106565</v>
      </c>
    </row>
    <row r="312" spans="1:8" x14ac:dyDescent="0.25">
      <c r="A312" s="1" t="s">
        <v>417</v>
      </c>
      <c r="B312" s="1" t="s">
        <v>11</v>
      </c>
      <c r="C312" s="2">
        <v>45345</v>
      </c>
      <c r="D312" s="2">
        <v>45345</v>
      </c>
      <c r="E312" s="1" t="s">
        <v>12</v>
      </c>
      <c r="F312" s="1" t="s">
        <v>13</v>
      </c>
      <c r="G312" s="1" t="str">
        <f>IF(H312="","",IFERROR(INDEX(tblOrgs[Client Name],MATCH(H312,tblOrgs[Client ABN],0)),""))</f>
        <v>The Rix Group Pty Ltd</v>
      </c>
      <c r="H312" s="1">
        <v>50092239113</v>
      </c>
    </row>
    <row r="313" spans="1:8" x14ac:dyDescent="0.25">
      <c r="A313" s="1" t="s">
        <v>261</v>
      </c>
      <c r="B313" s="1" t="s">
        <v>11</v>
      </c>
      <c r="C313" s="2">
        <v>45273</v>
      </c>
      <c r="D313" s="2">
        <v>45273</v>
      </c>
      <c r="E313" s="1" t="s">
        <v>12</v>
      </c>
      <c r="F313" s="1" t="s">
        <v>13</v>
      </c>
      <c r="G313" s="1" t="str">
        <f>IF(H313="","",IFERROR(INDEX(tblOrgs[Client Name],MATCH(H313,tblOrgs[Client ABN],0)),""))</f>
        <v>Freight Movement Pty Ltd</v>
      </c>
      <c r="H313" s="1">
        <v>61130823933</v>
      </c>
    </row>
    <row r="314" spans="1:8" x14ac:dyDescent="0.25">
      <c r="A314" s="1" t="s">
        <v>400</v>
      </c>
      <c r="B314" s="1" t="s">
        <v>11</v>
      </c>
      <c r="C314" s="2">
        <v>45350</v>
      </c>
      <c r="D314" s="2">
        <v>45350</v>
      </c>
      <c r="E314" s="1" t="s">
        <v>12</v>
      </c>
      <c r="F314" s="1" t="s">
        <v>13</v>
      </c>
      <c r="G314" s="1" t="str">
        <f>IF(H314="","",IFERROR(INDEX(tblOrgs[Client Name],MATCH(H314,tblOrgs[Client ABN],0)),""))</f>
        <v>Rappid Haulage Pty Ltd</v>
      </c>
      <c r="H314" s="1">
        <v>30665847932</v>
      </c>
    </row>
    <row r="315" spans="1:8" x14ac:dyDescent="0.25">
      <c r="A315" s="1" t="s">
        <v>344</v>
      </c>
      <c r="B315" s="1" t="s">
        <v>11</v>
      </c>
      <c r="C315" s="2">
        <v>45355</v>
      </c>
      <c r="D315" s="2">
        <v>45355</v>
      </c>
      <c r="E315" s="1" t="s">
        <v>12</v>
      </c>
      <c r="F315" s="1" t="s">
        <v>13</v>
      </c>
      <c r="G315" s="1" t="str">
        <f>IF(H315="","",IFERROR(INDEX(tblOrgs[Client Name],MATCH(H315,tblOrgs[Client ABN],0)),""))</f>
        <v>Clifton Formwork (Vic) Pty Ltd</v>
      </c>
      <c r="H315" s="1">
        <v>30099948786</v>
      </c>
    </row>
    <row r="316" spans="1:8" x14ac:dyDescent="0.25">
      <c r="A316" s="1" t="s">
        <v>403</v>
      </c>
      <c r="B316" s="1" t="s">
        <v>11</v>
      </c>
      <c r="C316" s="2">
        <v>45356</v>
      </c>
      <c r="D316" s="2">
        <v>45356</v>
      </c>
      <c r="E316" s="1" t="s">
        <v>12</v>
      </c>
      <c r="F316" s="1" t="s">
        <v>13</v>
      </c>
      <c r="G316" s="1" t="str">
        <f>IF(H316="","",IFERROR(INDEX(tblOrgs[Client Name],MATCH(H316,tblOrgs[Client ABN],0)),""))</f>
        <v>Rojoe Pty Ltd</v>
      </c>
      <c r="H316" s="1">
        <v>38093127256</v>
      </c>
    </row>
    <row r="317" spans="1:8" x14ac:dyDescent="0.25">
      <c r="A317" s="1" t="s">
        <v>373</v>
      </c>
      <c r="B317" s="1" t="s">
        <v>11</v>
      </c>
      <c r="C317" s="2">
        <v>45399</v>
      </c>
      <c r="D317" s="2">
        <v>45399</v>
      </c>
      <c r="E317" s="1" t="s">
        <v>12</v>
      </c>
      <c r="F317" s="1" t="s">
        <v>13</v>
      </c>
      <c r="G317" s="1" t="str">
        <f>IF(H317="","",IFERROR(INDEX(tblOrgs[Client Name],MATCH(H317,tblOrgs[Client ABN],0)),""))</f>
        <v>Hydro Excavac Pty Ltd</v>
      </c>
      <c r="H317" s="1">
        <v>36159996095</v>
      </c>
    </row>
    <row r="318" spans="1:8" x14ac:dyDescent="0.25">
      <c r="A318" s="1" t="s">
        <v>302</v>
      </c>
      <c r="B318" s="1" t="s">
        <v>11</v>
      </c>
      <c r="C318" s="2">
        <v>45130</v>
      </c>
      <c r="D318" s="2">
        <v>45130</v>
      </c>
      <c r="E318" s="1" t="s">
        <v>12</v>
      </c>
      <c r="F318" s="1" t="s">
        <v>13</v>
      </c>
      <c r="G318" s="1" t="str">
        <f>IF(H318="","",IFERROR(INDEX(tblOrgs[Client Name],MATCH(H318,tblOrgs[Client ABN],0)),""))</f>
        <v>STG Pumps Pty Ltd</v>
      </c>
      <c r="H318" s="1">
        <v>61602493872</v>
      </c>
    </row>
    <row r="319" spans="1:8" x14ac:dyDescent="0.25">
      <c r="A319" s="1" t="s">
        <v>320</v>
      </c>
      <c r="B319" s="1" t="s">
        <v>11</v>
      </c>
      <c r="C319" s="2">
        <v>45130</v>
      </c>
      <c r="D319" s="2">
        <v>45130</v>
      </c>
      <c r="E319" s="1" t="s">
        <v>12</v>
      </c>
      <c r="F319" s="1" t="s">
        <v>321</v>
      </c>
      <c r="G319" s="1" t="str">
        <f>IF(H319="","",IFERROR(INDEX(tblOrgs[Client Name],MATCH(H319,tblOrgs[Client ABN],0)),""))</f>
        <v>STG Pumps Pty Ltd</v>
      </c>
      <c r="H319" s="1">
        <v>61602493872</v>
      </c>
    </row>
    <row r="320" spans="1:8" x14ac:dyDescent="0.25">
      <c r="A320" s="1" t="s">
        <v>65</v>
      </c>
      <c r="B320" s="1" t="s">
        <v>11</v>
      </c>
      <c r="C320" s="2">
        <v>44128</v>
      </c>
      <c r="D320" s="2">
        <v>44128</v>
      </c>
      <c r="E320" s="1" t="s">
        <v>12</v>
      </c>
      <c r="F320" s="1" t="s">
        <v>62</v>
      </c>
      <c r="G320" s="1" t="str">
        <f>IF(H320="","",IFERROR(INDEX(tblOrgs[Client Name],MATCH(H320,tblOrgs[Client ABN],0)),""))</f>
        <v>Wallace Concrete Pumping Pty Ltd</v>
      </c>
      <c r="H320" s="1">
        <v>49157958177</v>
      </c>
    </row>
    <row r="321" spans="1:8" x14ac:dyDescent="0.25">
      <c r="A321" s="1" t="s">
        <v>150</v>
      </c>
      <c r="B321" s="1" t="s">
        <v>11</v>
      </c>
      <c r="C321" s="2">
        <v>44322</v>
      </c>
      <c r="D321" s="2">
        <v>44322</v>
      </c>
      <c r="E321" s="1" t="s">
        <v>12</v>
      </c>
      <c r="F321" s="1" t="s">
        <v>62</v>
      </c>
      <c r="G321" s="1" t="str">
        <f>IF(H321="","",IFERROR(INDEX(tblOrgs[Client Name],MATCH(H321,tblOrgs[Client ABN],0)),""))</f>
        <v>G M S Contractors Pty Ltd</v>
      </c>
      <c r="H321" s="1">
        <v>24611730002</v>
      </c>
    </row>
    <row r="322" spans="1:8" x14ac:dyDescent="0.25">
      <c r="A322" s="1" t="s">
        <v>152</v>
      </c>
      <c r="B322" s="1" t="s">
        <v>11</v>
      </c>
      <c r="C322" s="2">
        <v>44493</v>
      </c>
      <c r="D322" s="2">
        <v>44493</v>
      </c>
      <c r="E322" s="1" t="s">
        <v>12</v>
      </c>
      <c r="F322" s="1" t="s">
        <v>62</v>
      </c>
      <c r="G322" s="1" t="str">
        <f>IF(H322="","",IFERROR(INDEX(tblOrgs[Client Name],MATCH(H322,tblOrgs[Client ABN],0)),""))</f>
        <v>Wallace Concrete Pumping Pty Ltd</v>
      </c>
      <c r="H322" s="1">
        <v>49157958177</v>
      </c>
    </row>
    <row r="323" spans="1:8" x14ac:dyDescent="0.25">
      <c r="A323" s="1" t="s">
        <v>404</v>
      </c>
      <c r="B323" s="1" t="s">
        <v>11</v>
      </c>
      <c r="C323" s="2">
        <v>45379</v>
      </c>
      <c r="D323" s="2">
        <v>45379</v>
      </c>
      <c r="E323" s="1" t="s">
        <v>12</v>
      </c>
      <c r="F323" s="1" t="s">
        <v>13</v>
      </c>
      <c r="G323" s="1" t="str">
        <f>IF(H323="","",IFERROR(INDEX(tblOrgs[Client Name],MATCH(H323,tblOrgs[Client ABN],0)),""))</f>
        <v>Seadar Contractors Pty Ltd</v>
      </c>
      <c r="H323" s="1">
        <v>52600073087</v>
      </c>
    </row>
    <row r="324" spans="1:8" x14ac:dyDescent="0.25">
      <c r="A324" s="1" t="s">
        <v>425</v>
      </c>
      <c r="B324" s="1" t="s">
        <v>11</v>
      </c>
      <c r="C324" s="2">
        <v>45373</v>
      </c>
      <c r="D324" s="2">
        <v>45373</v>
      </c>
      <c r="E324" s="1" t="s">
        <v>12</v>
      </c>
      <c r="F324" s="1" t="s">
        <v>13</v>
      </c>
      <c r="G324" s="1" t="str">
        <f>IF(H324="","",IFERROR(INDEX(tblOrgs[Client Name],MATCH(H324,tblOrgs[Client ABN],0)),""))</f>
        <v>Xtra Mile Trucking Pty Ltd</v>
      </c>
      <c r="H324" s="1">
        <v>97153464469</v>
      </c>
    </row>
    <row r="325" spans="1:8" x14ac:dyDescent="0.25">
      <c r="A325" s="1" t="s">
        <v>355</v>
      </c>
      <c r="B325" s="1" t="s">
        <v>11</v>
      </c>
      <c r="C325" s="2">
        <v>45405</v>
      </c>
      <c r="D325" s="2">
        <v>45405</v>
      </c>
      <c r="E325" s="1" t="s">
        <v>12</v>
      </c>
      <c r="F325" s="1" t="s">
        <v>13</v>
      </c>
      <c r="G325" s="1" t="str">
        <f>IF(H325="","",IFERROR(INDEX(tblOrgs[Client Name],MATCH(H325,tblOrgs[Client ABN],0)),""))</f>
        <v>ENCO Precast Pty Ltd</v>
      </c>
      <c r="H325" s="1">
        <v>56072772037</v>
      </c>
    </row>
    <row r="326" spans="1:8" x14ac:dyDescent="0.25">
      <c r="A326" s="1" t="s">
        <v>342</v>
      </c>
      <c r="B326" s="1" t="s">
        <v>11</v>
      </c>
      <c r="C326" s="2">
        <v>45332</v>
      </c>
      <c r="D326" s="2">
        <v>45332</v>
      </c>
      <c r="E326" s="1" t="s">
        <v>12</v>
      </c>
      <c r="F326" s="1" t="s">
        <v>13</v>
      </c>
      <c r="G326" s="1" t="str">
        <f>IF(H326="","",IFERROR(INDEX(tblOrgs[Client Name],MATCH(H326,tblOrgs[Client ABN],0)),""))</f>
        <v>Chess Engineering Pty Ltd</v>
      </c>
      <c r="H326" s="1">
        <v>37000615056</v>
      </c>
    </row>
    <row r="327" spans="1:8" x14ac:dyDescent="0.25">
      <c r="A327" s="1" t="s">
        <v>337</v>
      </c>
      <c r="B327" s="1" t="s">
        <v>11</v>
      </c>
      <c r="C327" s="2">
        <v>45376</v>
      </c>
      <c r="D327" s="2">
        <v>45376</v>
      </c>
      <c r="E327" s="1" t="s">
        <v>12</v>
      </c>
      <c r="F327" s="1" t="s">
        <v>13</v>
      </c>
      <c r="G327" s="1" t="str">
        <f>IF(H327="","",IFERROR(INDEX(tblOrgs[Client Name],MATCH(H327,tblOrgs[Client ABN],0)),""))</f>
        <v>Avopiling Services (NSW) Pty Ltd</v>
      </c>
      <c r="H327" s="1">
        <v>11165683349</v>
      </c>
    </row>
    <row r="328" spans="1:8" x14ac:dyDescent="0.25">
      <c r="A328" s="1" t="s">
        <v>281</v>
      </c>
      <c r="B328" s="1" t="s">
        <v>11</v>
      </c>
      <c r="C328" s="2">
        <v>45094</v>
      </c>
      <c r="D328" s="2">
        <v>45094</v>
      </c>
      <c r="E328" s="1" t="s">
        <v>12</v>
      </c>
      <c r="F328" s="1" t="s">
        <v>13</v>
      </c>
      <c r="G328" s="1" t="str">
        <f>IF(H328="","",IFERROR(INDEX(tblOrgs[Client Name],MATCH(H328,tblOrgs[Client ABN],0)),""))</f>
        <v>Nasi Pty Ltd</v>
      </c>
      <c r="H328" s="1">
        <v>41609980726</v>
      </c>
    </row>
    <row r="329" spans="1:8" x14ac:dyDescent="0.25">
      <c r="A329" s="1" t="s">
        <v>406</v>
      </c>
      <c r="B329" s="1" t="s">
        <v>11</v>
      </c>
      <c r="C329" s="2">
        <v>45396</v>
      </c>
      <c r="D329" s="2">
        <v>45396</v>
      </c>
      <c r="E329" s="1" t="s">
        <v>12</v>
      </c>
      <c r="F329" s="1" t="s">
        <v>13</v>
      </c>
      <c r="G329" s="1" t="str">
        <f>IF(H329="","",IFERROR(INDEX(tblOrgs[Client Name],MATCH(H329,tblOrgs[Client ABN],0)),""))</f>
        <v>Slaney Excavations Pty Ltd</v>
      </c>
      <c r="H329" s="1">
        <v>76169837316</v>
      </c>
    </row>
    <row r="330" spans="1:8" x14ac:dyDescent="0.25">
      <c r="A330" s="1" t="s">
        <v>427</v>
      </c>
      <c r="B330" s="1" t="s">
        <v>11</v>
      </c>
      <c r="C330" s="2">
        <v>45404</v>
      </c>
      <c r="D330" s="2">
        <v>45404</v>
      </c>
      <c r="E330" s="1" t="s">
        <v>12</v>
      </c>
      <c r="F330" s="1" t="s">
        <v>62</v>
      </c>
      <c r="G330" s="1" t="str">
        <f>IF(H330="","",IFERROR(INDEX(tblOrgs[Client Name],MATCH(H330,tblOrgs[Client ABN],0)),""))</f>
        <v>Slaney Excavations Pty Ltd</v>
      </c>
      <c r="H330" s="1">
        <v>76169837316</v>
      </c>
    </row>
    <row r="331" spans="1:8" x14ac:dyDescent="0.25">
      <c r="A331" s="1" t="s">
        <v>378</v>
      </c>
      <c r="B331" s="1" t="s">
        <v>11</v>
      </c>
      <c r="C331" s="2">
        <v>45392</v>
      </c>
      <c r="D331" s="2">
        <v>45392</v>
      </c>
      <c r="E331" s="1" t="s">
        <v>12</v>
      </c>
      <c r="F331" s="1" t="s">
        <v>13</v>
      </c>
      <c r="G331" s="1" t="str">
        <f>IF(H331="","",IFERROR(INDEX(tblOrgs[Client Name],MATCH(H331,tblOrgs[Client ABN],0)),""))</f>
        <v>Lewiston Haulage Pty Ltd</v>
      </c>
      <c r="H331" s="1">
        <v>33631206178</v>
      </c>
    </row>
    <row r="332" spans="1:8" x14ac:dyDescent="0.25">
      <c r="A332" s="1" t="s">
        <v>390</v>
      </c>
      <c r="B332" s="1" t="s">
        <v>11</v>
      </c>
      <c r="C332" s="2">
        <v>45403</v>
      </c>
      <c r="D332" s="2">
        <v>45403</v>
      </c>
      <c r="E332" s="1" t="s">
        <v>12</v>
      </c>
      <c r="F332" s="1" t="s">
        <v>13</v>
      </c>
      <c r="G332" s="1" t="str">
        <f>IF(H332="","",IFERROR(INDEX(tblOrgs[Client Name],MATCH(H332,tblOrgs[Client ABN],0)),""))</f>
        <v>Outrite Hire &amp; Sales Pty Ltd</v>
      </c>
      <c r="H332" s="1">
        <v>59632942584</v>
      </c>
    </row>
    <row r="333" spans="1:8" x14ac:dyDescent="0.25">
      <c r="A333" s="1" t="s">
        <v>372</v>
      </c>
      <c r="B333" s="1" t="s">
        <v>11</v>
      </c>
      <c r="C333" s="2">
        <v>45399</v>
      </c>
      <c r="D333" s="2">
        <v>45399</v>
      </c>
      <c r="E333" s="1" t="s">
        <v>12</v>
      </c>
      <c r="F333" s="1" t="s">
        <v>13</v>
      </c>
      <c r="G333" s="1" t="str">
        <f>IF(H333="","",IFERROR(INDEX(tblOrgs[Client Name],MATCH(H333,tblOrgs[Client ABN],0)),""))</f>
        <v>Hydro Excavac Pty Ltd</v>
      </c>
      <c r="H333" s="1">
        <v>36159996095</v>
      </c>
    </row>
    <row r="334" spans="1:8" x14ac:dyDescent="0.25">
      <c r="A334" s="1" t="s">
        <v>367</v>
      </c>
      <c r="B334" s="1" t="s">
        <v>11</v>
      </c>
      <c r="C334" s="2">
        <v>45401</v>
      </c>
      <c r="D334" s="2">
        <v>45401</v>
      </c>
      <c r="E334" s="1" t="s">
        <v>12</v>
      </c>
      <c r="F334" s="1" t="s">
        <v>13</v>
      </c>
      <c r="G334" s="1" t="str">
        <f>IF(H334="","",IFERROR(INDEX(tblOrgs[Client Name],MATCH(H334,tblOrgs[Client ABN],0)),""))</f>
        <v>Hi-Haul Transport Pty Ltd</v>
      </c>
      <c r="H334" s="1">
        <v>25005099632</v>
      </c>
    </row>
    <row r="335" spans="1:8" x14ac:dyDescent="0.25">
      <c r="A335" s="1" t="s">
        <v>414</v>
      </c>
      <c r="B335" s="1" t="s">
        <v>11</v>
      </c>
      <c r="C335" s="2">
        <v>45394</v>
      </c>
      <c r="D335" s="2">
        <v>45394</v>
      </c>
      <c r="E335" s="1" t="s">
        <v>12</v>
      </c>
      <c r="F335" s="1" t="s">
        <v>13</v>
      </c>
      <c r="G335" s="1" t="str">
        <f>IF(H335="","",IFERROR(INDEX(tblOrgs[Client Name],MATCH(H335,tblOrgs[Client ABN],0)),""))</f>
        <v>T &amp; M Southern Cranes Pty Ltd</v>
      </c>
      <c r="H335" s="1">
        <v>99006697338</v>
      </c>
    </row>
    <row r="336" spans="1:8" x14ac:dyDescent="0.25">
      <c r="A336" s="1" t="s">
        <v>350</v>
      </c>
      <c r="B336" s="1" t="s">
        <v>11</v>
      </c>
      <c r="C336" s="2">
        <v>45405</v>
      </c>
      <c r="D336" s="2">
        <v>45405</v>
      </c>
      <c r="E336" s="1" t="s">
        <v>12</v>
      </c>
      <c r="F336" s="1" t="s">
        <v>13</v>
      </c>
      <c r="G336" s="1" t="str">
        <f>IF(H336="","",IFERROR(INDEX(tblOrgs[Client Name],MATCH(H336,tblOrgs[Client ABN],0)),""))</f>
        <v>Cubis Systems Australia Pty Ltd</v>
      </c>
      <c r="H336" s="1">
        <v>88108718350</v>
      </c>
    </row>
    <row r="337" spans="1:8" x14ac:dyDescent="0.25">
      <c r="A337" s="1" t="s">
        <v>424</v>
      </c>
      <c r="B337" s="1" t="s">
        <v>11</v>
      </c>
      <c r="C337" s="2">
        <v>45422</v>
      </c>
      <c r="D337" s="2">
        <v>45422</v>
      </c>
      <c r="E337" s="1" t="s">
        <v>12</v>
      </c>
      <c r="F337" s="1" t="s">
        <v>13</v>
      </c>
      <c r="G337" s="1" t="str">
        <f>IF(H337="","",IFERROR(INDEX(tblOrgs[Client Name],MATCH(H337,tblOrgs[Client ABN],0)),""))</f>
        <v>Westkon Precast Pty Ltd</v>
      </c>
      <c r="H337" s="1">
        <v>92107423156</v>
      </c>
    </row>
    <row r="338" spans="1:8" x14ac:dyDescent="0.25">
      <c r="A338" s="1" t="s">
        <v>399</v>
      </c>
      <c r="B338" s="1" t="s">
        <v>11</v>
      </c>
      <c r="C338" s="2">
        <v>45418</v>
      </c>
      <c r="D338" s="2">
        <v>45418</v>
      </c>
      <c r="E338" s="1" t="s">
        <v>12</v>
      </c>
      <c r="F338" s="1" t="s">
        <v>13</v>
      </c>
      <c r="G338" s="1" t="str">
        <f>IF(H338="","",IFERROR(INDEX(tblOrgs[Client Name],MATCH(H338,tblOrgs[Client ABN],0)),""))</f>
        <v>Rapidcrete Pty Ltd</v>
      </c>
      <c r="H338" s="1">
        <v>53104620322</v>
      </c>
    </row>
    <row r="339" spans="1:8" x14ac:dyDescent="0.25">
      <c r="A339" s="1" t="s">
        <v>510</v>
      </c>
      <c r="B339" s="1" t="s">
        <v>11</v>
      </c>
      <c r="C339" s="2">
        <v>45859</v>
      </c>
      <c r="D339" s="2">
        <v>45859</v>
      </c>
      <c r="E339" s="1" t="s">
        <v>12</v>
      </c>
      <c r="F339" s="1" t="s">
        <v>13</v>
      </c>
      <c r="G339" s="1" t="str">
        <f>IF(H339="","",IFERROR(INDEX(tblOrgs[Client Name],MATCH(H339,tblOrgs[Client ABN],0)),""))</f>
        <v>Tutt Bryant Group Limited</v>
      </c>
      <c r="H339" s="1">
        <v>89009242675</v>
      </c>
    </row>
    <row r="340" spans="1:8" x14ac:dyDescent="0.25">
      <c r="A340" s="1" t="s">
        <v>341</v>
      </c>
      <c r="B340" s="1" t="s">
        <v>11</v>
      </c>
      <c r="C340" s="2">
        <v>45425</v>
      </c>
      <c r="D340" s="2">
        <v>45425</v>
      </c>
      <c r="E340" s="1" t="s">
        <v>12</v>
      </c>
      <c r="F340" s="1" t="s">
        <v>13</v>
      </c>
      <c r="G340" s="1" t="str">
        <f>IF(H340="","",IFERROR(INDEX(tblOrgs[Client Name],MATCH(H340,tblOrgs[Client ABN],0)),""))</f>
        <v>Bryco Civil Construction Pty Ltd</v>
      </c>
      <c r="H340" s="1">
        <v>67642143324</v>
      </c>
    </row>
    <row r="341" spans="1:8" x14ac:dyDescent="0.25">
      <c r="A341" s="1" t="s">
        <v>389</v>
      </c>
      <c r="B341" s="1" t="s">
        <v>11</v>
      </c>
      <c r="C341" s="2">
        <v>45423</v>
      </c>
      <c r="D341" s="2">
        <v>45423</v>
      </c>
      <c r="E341" s="1" t="s">
        <v>12</v>
      </c>
      <c r="F341" s="1" t="s">
        <v>13</v>
      </c>
      <c r="G341" s="1" t="str">
        <f>IF(H341="","",IFERROR(INDEX(tblOrgs[Client Name],MATCH(H341,tblOrgs[Client ABN],0)),""))</f>
        <v>Newnham Trucking Pty Ltd</v>
      </c>
      <c r="H341" s="1">
        <v>25100435363</v>
      </c>
    </row>
    <row r="342" spans="1:8" x14ac:dyDescent="0.25">
      <c r="A342" s="1" t="s">
        <v>371</v>
      </c>
      <c r="B342" s="1" t="s">
        <v>11</v>
      </c>
      <c r="C342" s="2">
        <v>45597</v>
      </c>
      <c r="D342" s="2">
        <v>45597</v>
      </c>
      <c r="E342" s="1" t="s">
        <v>12</v>
      </c>
      <c r="F342" s="1" t="s">
        <v>13</v>
      </c>
      <c r="G342" s="1" t="str">
        <f>IF(H342="","",IFERROR(INDEX(tblOrgs[Client Name],MATCH(H342,tblOrgs[Client ABN],0)),""))</f>
        <v>Holcim (Australia) Pty Ltd</v>
      </c>
      <c r="H342" s="1">
        <v>87099732297</v>
      </c>
    </row>
    <row r="343" spans="1:8" x14ac:dyDescent="0.25">
      <c r="A343" s="1" t="s">
        <v>388</v>
      </c>
      <c r="B343" s="1" t="s">
        <v>11</v>
      </c>
      <c r="C343" s="2">
        <v>45460</v>
      </c>
      <c r="D343" s="2">
        <v>45460</v>
      </c>
      <c r="E343" s="1" t="s">
        <v>12</v>
      </c>
      <c r="F343" s="1" t="s">
        <v>13</v>
      </c>
      <c r="G343" s="1" t="str">
        <f>IF(H343="","",IFERROR(INDEX(tblOrgs[Client Name],MATCH(H343,tblOrgs[Client ABN],0)),""))</f>
        <v>Nasi Pty Ltd</v>
      </c>
      <c r="H343" s="1">
        <v>41609980726</v>
      </c>
    </row>
    <row r="344" spans="1:8" x14ac:dyDescent="0.25">
      <c r="A344" s="1" t="s">
        <v>328</v>
      </c>
      <c r="B344" s="1" t="s">
        <v>11</v>
      </c>
      <c r="C344" s="2">
        <v>45448</v>
      </c>
      <c r="D344" s="2">
        <v>45448</v>
      </c>
      <c r="E344" s="1" t="s">
        <v>12</v>
      </c>
      <c r="F344" s="1" t="s">
        <v>13</v>
      </c>
      <c r="G344" s="1" t="str">
        <f>IF(H344="","",IFERROR(INDEX(tblOrgs[Client Name],MATCH(H344,tblOrgs[Client ABN],0)),""))</f>
        <v>Advanced Weather Proofing Pty Ltd</v>
      </c>
      <c r="H344" s="1">
        <v>44113903772</v>
      </c>
    </row>
    <row r="345" spans="1:8" x14ac:dyDescent="0.25">
      <c r="A345" s="1" t="s">
        <v>323</v>
      </c>
      <c r="B345" s="1" t="s">
        <v>11</v>
      </c>
      <c r="C345" s="2">
        <v>45436</v>
      </c>
      <c r="D345" s="2">
        <v>45436</v>
      </c>
      <c r="E345" s="1" t="s">
        <v>12</v>
      </c>
      <c r="F345" s="1" t="s">
        <v>13</v>
      </c>
      <c r="G345" s="1" t="str">
        <f>IF(H345="","",IFERROR(INDEX(tblOrgs[Client Name],MATCH(H345,tblOrgs[Client ABN],0)),""))</f>
        <v>A C Whalan &amp; Co Pty Ltd</v>
      </c>
      <c r="H345" s="1">
        <v>90003499849</v>
      </c>
    </row>
    <row r="346" spans="1:8" x14ac:dyDescent="0.25">
      <c r="A346" s="1" t="s">
        <v>349</v>
      </c>
      <c r="B346" s="1" t="s">
        <v>11</v>
      </c>
      <c r="C346" s="2">
        <v>45443</v>
      </c>
      <c r="D346" s="2">
        <v>45443</v>
      </c>
      <c r="E346" s="1" t="s">
        <v>12</v>
      </c>
      <c r="F346" s="1" t="s">
        <v>13</v>
      </c>
      <c r="G346" s="1" t="str">
        <f>IF(H346="","",IFERROR(INDEX(tblOrgs[Client Name],MATCH(H346,tblOrgs[Client ABN],0)),""))</f>
        <v>CSA Specialised Services Pty Ltd</v>
      </c>
      <c r="H346" s="1">
        <v>11757908807</v>
      </c>
    </row>
    <row r="347" spans="1:8" x14ac:dyDescent="0.25">
      <c r="A347" s="1" t="s">
        <v>384</v>
      </c>
      <c r="B347" s="1" t="s">
        <v>11</v>
      </c>
      <c r="C347" s="2">
        <v>45395</v>
      </c>
      <c r="D347" s="2">
        <v>45395</v>
      </c>
      <c r="E347" s="1" t="s">
        <v>12</v>
      </c>
      <c r="F347" s="1" t="s">
        <v>13</v>
      </c>
      <c r="G347" s="1" t="str">
        <f>IF(H347="","",IFERROR(INDEX(tblOrgs[Client Name],MATCH(H347,tblOrgs[Client ABN],0)),""))</f>
        <v>Matrix Drilling Australia Pty Ltd</v>
      </c>
      <c r="H347" s="1">
        <v>65631934971</v>
      </c>
    </row>
    <row r="348" spans="1:8" x14ac:dyDescent="0.25">
      <c r="A348" s="1" t="s">
        <v>423</v>
      </c>
      <c r="B348" s="1" t="s">
        <v>11</v>
      </c>
      <c r="C348" s="2">
        <v>45422</v>
      </c>
      <c r="D348" s="2">
        <v>45422</v>
      </c>
      <c r="E348" s="1" t="s">
        <v>12</v>
      </c>
      <c r="F348" s="1" t="s">
        <v>13</v>
      </c>
      <c r="G348" s="1" t="str">
        <f>IF(H348="","",IFERROR(INDEX(tblOrgs[Client Name],MATCH(H348,tblOrgs[Client ABN],0)),""))</f>
        <v>Westkon Precast Pty Ltd</v>
      </c>
      <c r="H348" s="1">
        <v>92107423156</v>
      </c>
    </row>
    <row r="349" spans="1:8" x14ac:dyDescent="0.25">
      <c r="A349" s="1" t="s">
        <v>331</v>
      </c>
      <c r="B349" s="1" t="s">
        <v>11</v>
      </c>
      <c r="C349" s="2">
        <v>45360</v>
      </c>
      <c r="D349" s="2">
        <v>45360</v>
      </c>
      <c r="E349" s="1" t="s">
        <v>12</v>
      </c>
      <c r="F349" s="1" t="s">
        <v>13</v>
      </c>
      <c r="G349" s="1" t="str">
        <f>IF(H349="","",IFERROR(INDEX(tblOrgs[Client Name],MATCH(H349,tblOrgs[Client ABN],0)),""))</f>
        <v>Ardee Civil Pty Ltd</v>
      </c>
      <c r="H349" s="1">
        <v>98050056105</v>
      </c>
    </row>
    <row r="350" spans="1:8" x14ac:dyDescent="0.25">
      <c r="A350" s="1" t="s">
        <v>326</v>
      </c>
      <c r="B350" s="1" t="s">
        <v>11</v>
      </c>
      <c r="C350" s="2">
        <v>45457</v>
      </c>
      <c r="D350" s="2">
        <v>45457</v>
      </c>
      <c r="E350" s="1" t="s">
        <v>12</v>
      </c>
      <c r="F350" s="1" t="s">
        <v>13</v>
      </c>
      <c r="G350" s="1" t="str">
        <f>IF(H350="","",IFERROR(INDEX(tblOrgs[Client Name],MATCH(H350,tblOrgs[Client ABN],0)),""))</f>
        <v>Abyss Construction Pty Ltd</v>
      </c>
      <c r="H350" s="1">
        <v>50614066223</v>
      </c>
    </row>
    <row r="351" spans="1:8" x14ac:dyDescent="0.25">
      <c r="A351" s="1" t="s">
        <v>394</v>
      </c>
      <c r="B351" s="1" t="s">
        <v>11</v>
      </c>
      <c r="C351" s="2">
        <v>45490</v>
      </c>
      <c r="D351" s="2">
        <v>45490</v>
      </c>
      <c r="E351" s="1" t="s">
        <v>12</v>
      </c>
      <c r="F351" s="1" t="s">
        <v>13</v>
      </c>
      <c r="G351" s="1" t="str">
        <f>IF(H351="","",IFERROR(INDEX(tblOrgs[Client Name],MATCH(H351,tblOrgs[Client ABN],0)),""))</f>
        <v>PWG Infrastructure Pty Ltd</v>
      </c>
      <c r="H351" s="1">
        <v>45628502410</v>
      </c>
    </row>
    <row r="352" spans="1:8" x14ac:dyDescent="0.25">
      <c r="A352" s="1" t="s">
        <v>334</v>
      </c>
      <c r="B352" s="1" t="s">
        <v>11</v>
      </c>
      <c r="C352" s="2">
        <v>45495</v>
      </c>
      <c r="D352" s="2">
        <v>45495</v>
      </c>
      <c r="E352" s="1" t="s">
        <v>12</v>
      </c>
      <c r="F352" s="1" t="s">
        <v>13</v>
      </c>
      <c r="G352" s="1" t="str">
        <f>IF(H352="","",IFERROR(INDEX(tblOrgs[Client Name],MATCH(H352,tblOrgs[Client ABN],0)),""))</f>
        <v>Ash (Vic) Pty Ltd</v>
      </c>
      <c r="H352" s="1">
        <v>29115372613</v>
      </c>
    </row>
    <row r="353" spans="1:8" x14ac:dyDescent="0.25">
      <c r="A353" s="1" t="s">
        <v>332</v>
      </c>
      <c r="B353" s="1" t="s">
        <v>11</v>
      </c>
      <c r="C353" s="2">
        <v>45497</v>
      </c>
      <c r="D353" s="2">
        <v>45497</v>
      </c>
      <c r="E353" s="1" t="s">
        <v>12</v>
      </c>
      <c r="F353" s="1" t="s">
        <v>13</v>
      </c>
      <c r="G353" s="1" t="str">
        <f>IF(H353="","",IFERROR(INDEX(tblOrgs[Client Name],MATCH(H353,tblOrgs[Client ABN],0)),""))</f>
        <v>As you like it Landscaping Pty Ltd</v>
      </c>
      <c r="H353" s="1">
        <v>51064081956</v>
      </c>
    </row>
    <row r="354" spans="1:8" x14ac:dyDescent="0.25">
      <c r="A354" s="1" t="s">
        <v>393</v>
      </c>
      <c r="B354" s="1" t="s">
        <v>11</v>
      </c>
      <c r="C354" s="2">
        <v>45478</v>
      </c>
      <c r="D354" s="2">
        <v>45478</v>
      </c>
      <c r="E354" s="1" t="s">
        <v>12</v>
      </c>
      <c r="F354" s="1" t="s">
        <v>13</v>
      </c>
      <c r="G354" s="1" t="str">
        <f>IF(H354="","",IFERROR(INDEX(tblOrgs[Client Name],MATCH(H354,tblOrgs[Client ABN],0)),""))</f>
        <v>Pressure Works Pty Ltd</v>
      </c>
      <c r="H354" s="1">
        <v>94365883835</v>
      </c>
    </row>
    <row r="355" spans="1:8" x14ac:dyDescent="0.25">
      <c r="A355" s="1" t="s">
        <v>379</v>
      </c>
      <c r="B355" s="1" t="s">
        <v>11</v>
      </c>
      <c r="C355" s="2">
        <v>45483</v>
      </c>
      <c r="D355" s="2">
        <v>45483</v>
      </c>
      <c r="E355" s="1" t="s">
        <v>12</v>
      </c>
      <c r="F355" s="1" t="s">
        <v>13</v>
      </c>
      <c r="G355" s="1" t="str">
        <f>IF(H355="","",IFERROR(INDEX(tblOrgs[Client Name],MATCH(H355,tblOrgs[Client ABN],0)),""))</f>
        <v>Maas Group Holdings</v>
      </c>
      <c r="H355" s="1">
        <v>84632994542</v>
      </c>
    </row>
    <row r="356" spans="1:8" x14ac:dyDescent="0.25">
      <c r="A356" s="1" t="s">
        <v>396</v>
      </c>
      <c r="B356" s="1" t="s">
        <v>11</v>
      </c>
      <c r="C356" s="2">
        <v>45497</v>
      </c>
      <c r="D356" s="2">
        <v>45497</v>
      </c>
      <c r="E356" s="1" t="s">
        <v>12</v>
      </c>
      <c r="F356" s="1" t="s">
        <v>13</v>
      </c>
      <c r="G356" s="1" t="str">
        <f>IF(H356="","",IFERROR(INDEX(tblOrgs[Client Name],MATCH(H356,tblOrgs[Client ABN],0)),""))</f>
        <v>RA Smith Contracting Pty Ltd</v>
      </c>
      <c r="H356" s="1">
        <v>65006694702</v>
      </c>
    </row>
    <row r="357" spans="1:8" x14ac:dyDescent="0.25">
      <c r="A357" s="1" t="s">
        <v>330</v>
      </c>
      <c r="B357" s="1" t="s">
        <v>11</v>
      </c>
      <c r="C357" s="2">
        <v>45497</v>
      </c>
      <c r="D357" s="2">
        <v>45497</v>
      </c>
      <c r="E357" s="1" t="s">
        <v>12</v>
      </c>
      <c r="F357" s="1" t="s">
        <v>13</v>
      </c>
      <c r="G357" s="1" t="str">
        <f>IF(H357="","",IFERROR(INDEX(tblOrgs[Client Name],MATCH(H357,tblOrgs[Client ABN],0)),""))</f>
        <v>Arcadia Global Pty Ltd</v>
      </c>
      <c r="H357" s="1">
        <v>62008668291</v>
      </c>
    </row>
    <row r="358" spans="1:8" x14ac:dyDescent="0.25">
      <c r="A358" s="1" t="s">
        <v>364</v>
      </c>
      <c r="B358" s="1" t="s">
        <v>11</v>
      </c>
      <c r="C358" s="2">
        <v>45487</v>
      </c>
      <c r="D358" s="2">
        <v>45487</v>
      </c>
      <c r="E358" s="1" t="s">
        <v>12</v>
      </c>
      <c r="F358" s="1" t="s">
        <v>13</v>
      </c>
      <c r="G358" s="1" t="str">
        <f>IF(H358="","",IFERROR(INDEX(tblOrgs[Client Name],MATCH(H358,tblOrgs[Client ABN],0)),""))</f>
        <v>GVP Fabricators Pty Ltd</v>
      </c>
      <c r="H358" s="1">
        <v>59082132394</v>
      </c>
    </row>
    <row r="359" spans="1:8" x14ac:dyDescent="0.25">
      <c r="A359" s="1" t="s">
        <v>340</v>
      </c>
      <c r="B359" s="1" t="s">
        <v>11</v>
      </c>
      <c r="C359" s="2">
        <v>45486</v>
      </c>
      <c r="D359" s="2">
        <v>45486</v>
      </c>
      <c r="E359" s="1" t="s">
        <v>12</v>
      </c>
      <c r="F359" s="1" t="s">
        <v>13</v>
      </c>
      <c r="G359" s="1" t="str">
        <f>IF(H359="","",IFERROR(INDEX(tblOrgs[Client Name],MATCH(H359,tblOrgs[Client ABN],0)),""))</f>
        <v>Brent Young Cranes Pty Ltd</v>
      </c>
      <c r="H359" s="1">
        <v>74795954655</v>
      </c>
    </row>
    <row r="360" spans="1:8" x14ac:dyDescent="0.25">
      <c r="A360" s="1" t="s">
        <v>343</v>
      </c>
      <c r="B360" s="1" t="s">
        <v>11</v>
      </c>
      <c r="C360" s="2">
        <v>45402</v>
      </c>
      <c r="D360" s="2">
        <v>45402</v>
      </c>
      <c r="E360" s="1" t="s">
        <v>12</v>
      </c>
      <c r="F360" s="1" t="s">
        <v>13</v>
      </c>
      <c r="G360" s="1" t="str">
        <f>IF(H360="","",IFERROR(INDEX(tblOrgs[Client Name],MATCH(H360,tblOrgs[Client ABN],0)),""))</f>
        <v>Civx Pty Ltd</v>
      </c>
      <c r="H360" s="1">
        <v>53603953019</v>
      </c>
    </row>
    <row r="361" spans="1:8" x14ac:dyDescent="0.25">
      <c r="A361" s="1" t="s">
        <v>410</v>
      </c>
      <c r="B361" s="1" t="s">
        <v>11</v>
      </c>
      <c r="C361" s="2">
        <v>45496</v>
      </c>
      <c r="D361" s="2">
        <v>45496</v>
      </c>
      <c r="E361" s="1" t="s">
        <v>12</v>
      </c>
      <c r="F361" s="1" t="s">
        <v>13</v>
      </c>
      <c r="G361" s="1" t="str">
        <f>IF(H361="","",IFERROR(INDEX(tblOrgs[Client Name],MATCH(H361,tblOrgs[Client ABN],0)),""))</f>
        <v>STG Pumps Pty Ltd</v>
      </c>
      <c r="H361" s="1">
        <v>61602493872</v>
      </c>
    </row>
    <row r="362" spans="1:8" x14ac:dyDescent="0.25">
      <c r="A362" s="1" t="s">
        <v>428</v>
      </c>
      <c r="B362" s="1" t="s">
        <v>11</v>
      </c>
      <c r="C362" s="2">
        <v>45496</v>
      </c>
      <c r="D362" s="2">
        <v>45496</v>
      </c>
      <c r="E362" s="1" t="s">
        <v>12</v>
      </c>
      <c r="F362" s="1" t="s">
        <v>62</v>
      </c>
      <c r="G362" s="1" t="str">
        <f>IF(H362="","",IFERROR(INDEX(tblOrgs[Client Name],MATCH(H362,tblOrgs[Client ABN],0)),""))</f>
        <v>STG Pumps Pty Ltd</v>
      </c>
      <c r="H362" s="1">
        <v>61602493872</v>
      </c>
    </row>
    <row r="363" spans="1:8" x14ac:dyDescent="0.25">
      <c r="A363" s="1" t="s">
        <v>352</v>
      </c>
      <c r="B363" s="1" t="s">
        <v>11</v>
      </c>
      <c r="C363" s="2">
        <v>45534</v>
      </c>
      <c r="D363" s="2">
        <v>45534</v>
      </c>
      <c r="E363" s="1" t="s">
        <v>12</v>
      </c>
      <c r="F363" s="1" t="s">
        <v>13</v>
      </c>
      <c r="G363" s="1" t="str">
        <f>IF(H363="","",IFERROR(INDEX(tblOrgs[Client Name],MATCH(H363,tblOrgs[Client ABN],0)),""))</f>
        <v>Durkin Construction Pty Ltd</v>
      </c>
      <c r="H363" s="1">
        <v>73615246118</v>
      </c>
    </row>
    <row r="364" spans="1:8" x14ac:dyDescent="0.25">
      <c r="A364" s="1" t="s">
        <v>357</v>
      </c>
      <c r="B364" s="1" t="s">
        <v>11</v>
      </c>
      <c r="C364" s="2">
        <v>45505</v>
      </c>
      <c r="D364" s="2">
        <v>45505</v>
      </c>
      <c r="E364" s="1" t="s">
        <v>12</v>
      </c>
      <c r="F364" s="1" t="s">
        <v>13</v>
      </c>
      <c r="G364" s="1" t="str">
        <f>IF(H364="","",IFERROR(INDEX(tblOrgs[Client Name],MATCH(H364,tblOrgs[Client ABN],0)),""))</f>
        <v>Euro Civil Pty Ltd</v>
      </c>
      <c r="H364" s="1">
        <v>85057330748</v>
      </c>
    </row>
    <row r="365" spans="1:8" x14ac:dyDescent="0.25">
      <c r="A365" s="1" t="s">
        <v>392</v>
      </c>
      <c r="B365" s="1" t="s">
        <v>11</v>
      </c>
      <c r="C365" s="2">
        <v>45535</v>
      </c>
      <c r="D365" s="2">
        <v>45535</v>
      </c>
      <c r="E365" s="1" t="s">
        <v>12</v>
      </c>
      <c r="F365" s="1" t="s">
        <v>13</v>
      </c>
      <c r="G365" s="1" t="str">
        <f>IF(H365="","",IFERROR(INDEX(tblOrgs[Client Name],MATCH(H365,tblOrgs[Client ABN],0)),""))</f>
        <v>Patriot Tankers Pty Ltd</v>
      </c>
      <c r="H365" s="1">
        <v>58133136400</v>
      </c>
    </row>
    <row r="366" spans="1:8" x14ac:dyDescent="0.25">
      <c r="A366" s="1" t="s">
        <v>409</v>
      </c>
      <c r="B366" s="1" t="s">
        <v>11</v>
      </c>
      <c r="C366" s="2">
        <v>45496</v>
      </c>
      <c r="D366" s="2">
        <v>45496</v>
      </c>
      <c r="E366" s="1" t="s">
        <v>12</v>
      </c>
      <c r="F366" s="1" t="s">
        <v>13</v>
      </c>
      <c r="G366" s="1" t="str">
        <f>IF(H366="","",IFERROR(INDEX(tblOrgs[Client Name],MATCH(H366,tblOrgs[Client ABN],0)),""))</f>
        <v>STG Pumps Pty Ltd</v>
      </c>
      <c r="H366" s="1">
        <v>61602493872</v>
      </c>
    </row>
    <row r="367" spans="1:8" x14ac:dyDescent="0.25">
      <c r="A367" s="1" t="s">
        <v>431</v>
      </c>
      <c r="B367" s="1" t="s">
        <v>11</v>
      </c>
      <c r="C367" s="2">
        <v>45496</v>
      </c>
      <c r="D367" s="2">
        <v>45496</v>
      </c>
      <c r="E367" s="1" t="s">
        <v>12</v>
      </c>
      <c r="F367" s="1" t="s">
        <v>321</v>
      </c>
      <c r="G367" s="1" t="str">
        <f>IF(H367="","",IFERROR(INDEX(tblOrgs[Client Name],MATCH(H367,tblOrgs[Client ABN],0)),""))</f>
        <v>STG Pumps Pty Ltd</v>
      </c>
      <c r="H367" s="1">
        <v>61602493872</v>
      </c>
    </row>
    <row r="368" spans="1:8" x14ac:dyDescent="0.25">
      <c r="A368" s="1" t="s">
        <v>353</v>
      </c>
      <c r="B368" s="1" t="s">
        <v>11</v>
      </c>
      <c r="C368" s="2">
        <v>45518</v>
      </c>
      <c r="D368" s="2">
        <v>45518</v>
      </c>
      <c r="E368" s="1" t="s">
        <v>12</v>
      </c>
      <c r="F368" s="1" t="s">
        <v>13</v>
      </c>
      <c r="G368" s="1" t="str">
        <f>IF(H368="","",IFERROR(INDEX(tblOrgs[Client Name],MATCH(H368,tblOrgs[Client ABN],0)),""))</f>
        <v>Earthtek Excavations Pty Ltd</v>
      </c>
      <c r="H368" s="1">
        <v>54090536575</v>
      </c>
    </row>
    <row r="369" spans="1:8" x14ac:dyDescent="0.25">
      <c r="A369" s="1" t="s">
        <v>426</v>
      </c>
      <c r="B369" s="1" t="s">
        <v>11</v>
      </c>
      <c r="C369" s="2">
        <v>45518</v>
      </c>
      <c r="D369" s="2">
        <v>45518</v>
      </c>
      <c r="E369" s="1" t="s">
        <v>12</v>
      </c>
      <c r="F369" s="1" t="s">
        <v>62</v>
      </c>
      <c r="G369" s="1" t="str">
        <f>IF(H369="","",IFERROR(INDEX(tblOrgs[Client Name],MATCH(H369,tblOrgs[Client ABN],0)),""))</f>
        <v>Earthtek Excavations Pty Ltd</v>
      </c>
      <c r="H369" s="1">
        <v>54090536575</v>
      </c>
    </row>
    <row r="370" spans="1:8" x14ac:dyDescent="0.25">
      <c r="A370" s="1" t="s">
        <v>369</v>
      </c>
      <c r="B370" s="1" t="s">
        <v>11</v>
      </c>
      <c r="C370" s="2">
        <v>45515</v>
      </c>
      <c r="D370" s="2">
        <v>45515</v>
      </c>
      <c r="E370" s="1" t="s">
        <v>12</v>
      </c>
      <c r="F370" s="1" t="s">
        <v>13</v>
      </c>
      <c r="G370" s="1" t="str">
        <f>IF(H370="","",IFERROR(INDEX(tblOrgs[Client Name],MATCH(H370,tblOrgs[Client ABN],0)),""))</f>
        <v>HL Landscapes Pty Ltd</v>
      </c>
      <c r="H370" s="1">
        <v>92119886734</v>
      </c>
    </row>
    <row r="371" spans="1:8" x14ac:dyDescent="0.25">
      <c r="A371" s="1" t="s">
        <v>346</v>
      </c>
      <c r="B371" s="1" t="s">
        <v>11</v>
      </c>
      <c r="C371" s="2">
        <v>45464</v>
      </c>
      <c r="D371" s="2">
        <v>45464</v>
      </c>
      <c r="E371" s="1" t="s">
        <v>12</v>
      </c>
      <c r="F371" s="1" t="s">
        <v>13</v>
      </c>
      <c r="G371" s="1" t="str">
        <f>IF(H371="","",IFERROR(INDEX(tblOrgs[Client Name],MATCH(H371,tblOrgs[Client ABN],0)),""))</f>
        <v>Comfort Sleep Bedding Pty Ltd</v>
      </c>
      <c r="H371" s="1">
        <v>52655705114</v>
      </c>
    </row>
    <row r="372" spans="1:8" x14ac:dyDescent="0.25">
      <c r="A372" s="1" t="s">
        <v>333</v>
      </c>
      <c r="B372" s="1" t="s">
        <v>11</v>
      </c>
      <c r="C372" s="2">
        <v>45495</v>
      </c>
      <c r="D372" s="2">
        <v>45495</v>
      </c>
      <c r="E372" s="1" t="s">
        <v>12</v>
      </c>
      <c r="F372" s="1" t="s">
        <v>13</v>
      </c>
      <c r="G372" s="1" t="str">
        <f>IF(H372="","",IFERROR(INDEX(tblOrgs[Client Name],MATCH(H372,tblOrgs[Client ABN],0)),""))</f>
        <v>Ash (Vic) Pty Ltd</v>
      </c>
      <c r="H372" s="1">
        <v>29115372613</v>
      </c>
    </row>
    <row r="373" spans="1:8" x14ac:dyDescent="0.25">
      <c r="A373" s="1" t="s">
        <v>338</v>
      </c>
      <c r="B373" s="1" t="s">
        <v>11</v>
      </c>
      <c r="C373" s="2">
        <v>45519</v>
      </c>
      <c r="D373" s="2">
        <v>45519</v>
      </c>
      <c r="E373" s="1" t="s">
        <v>12</v>
      </c>
      <c r="F373" s="1" t="s">
        <v>13</v>
      </c>
      <c r="G373" s="1" t="str">
        <f>IF(H373="","",IFERROR(INDEX(tblOrgs[Client Name],MATCH(H373,tblOrgs[Client ABN],0)),""))</f>
        <v>Barlina Pty Ltd</v>
      </c>
      <c r="H373" s="1">
        <v>40078243526</v>
      </c>
    </row>
    <row r="374" spans="1:8" x14ac:dyDescent="0.25">
      <c r="A374" s="1" t="s">
        <v>405</v>
      </c>
      <c r="B374" s="1" t="s">
        <v>11</v>
      </c>
      <c r="C374" s="2">
        <v>45536</v>
      </c>
      <c r="D374" s="2">
        <v>45536</v>
      </c>
      <c r="E374" s="1" t="s">
        <v>12</v>
      </c>
      <c r="F374" s="1" t="s">
        <v>13</v>
      </c>
      <c r="G374" s="1" t="str">
        <f>IF(H374="","",IFERROR(INDEX(tblOrgs[Client Name],MATCH(H374,tblOrgs[Client ABN],0)),""))</f>
        <v>Skeffmac Pty Ltd</v>
      </c>
      <c r="H374" s="1">
        <v>26639030774</v>
      </c>
    </row>
    <row r="375" spans="1:8" x14ac:dyDescent="0.25">
      <c r="A375" s="1" t="s">
        <v>368</v>
      </c>
      <c r="B375" s="1" t="s">
        <v>11</v>
      </c>
      <c r="C375" s="2">
        <v>45522</v>
      </c>
      <c r="D375" s="2">
        <v>45522</v>
      </c>
      <c r="E375" s="1" t="s">
        <v>12</v>
      </c>
      <c r="F375" s="1" t="s">
        <v>13</v>
      </c>
      <c r="G375" s="1" t="str">
        <f>IF(H375="","",IFERROR(INDEX(tblOrgs[Client Name],MATCH(H375,tblOrgs[Client ABN],0)),""))</f>
        <v>Hirecorp Pty Ltd</v>
      </c>
      <c r="H375" s="1">
        <v>12611161829</v>
      </c>
    </row>
    <row r="376" spans="1:8" x14ac:dyDescent="0.25">
      <c r="A376" s="1" t="s">
        <v>421</v>
      </c>
      <c r="B376" s="1" t="s">
        <v>11</v>
      </c>
      <c r="C376" s="2">
        <v>45549</v>
      </c>
      <c r="D376" s="2">
        <v>45549</v>
      </c>
      <c r="E376" s="1" t="s">
        <v>12</v>
      </c>
      <c r="F376" s="1" t="s">
        <v>13</v>
      </c>
      <c r="G376" s="1" t="str">
        <f>IF(H376="","",IFERROR(INDEX(tblOrgs[Client Name],MATCH(H376,tblOrgs[Client ABN],0)),""))</f>
        <v>Victorian Crane Hire Pty Ltd</v>
      </c>
      <c r="H376" s="1">
        <v>15619105092</v>
      </c>
    </row>
    <row r="377" spans="1:8" x14ac:dyDescent="0.25">
      <c r="A377" s="1" t="s">
        <v>289</v>
      </c>
      <c r="B377" s="1" t="s">
        <v>11</v>
      </c>
      <c r="C377" s="2">
        <v>45260</v>
      </c>
      <c r="D377" s="2">
        <v>45260</v>
      </c>
      <c r="E377" s="1" t="s">
        <v>12</v>
      </c>
      <c r="F377" s="1" t="s">
        <v>13</v>
      </c>
      <c r="G377" s="1" t="str">
        <f>IF(H377="","",IFERROR(INDEX(tblOrgs[Client Name],MATCH(H377,tblOrgs[Client ABN],0)),""))</f>
        <v>Q Electrical Services Pty Ltd</v>
      </c>
      <c r="H377" s="1">
        <v>70068064817</v>
      </c>
    </row>
    <row r="378" spans="1:8" x14ac:dyDescent="0.25">
      <c r="A378" s="1" t="s">
        <v>347</v>
      </c>
      <c r="B378" s="1" t="s">
        <v>11</v>
      </c>
      <c r="C378" s="2">
        <v>45526</v>
      </c>
      <c r="D378" s="2">
        <v>45526</v>
      </c>
      <c r="E378" s="1" t="s">
        <v>12</v>
      </c>
      <c r="F378" s="1" t="s">
        <v>13</v>
      </c>
      <c r="G378" s="1" t="str">
        <f>IF(H378="","",IFERROR(INDEX(tblOrgs[Client Name],MATCH(H378,tblOrgs[Client ABN],0)),""))</f>
        <v>Complete Welding Services International Pty Ltd</v>
      </c>
      <c r="H378" s="1">
        <v>97054579243</v>
      </c>
    </row>
    <row r="379" spans="1:8" x14ac:dyDescent="0.25">
      <c r="A379" s="1" t="s">
        <v>430</v>
      </c>
      <c r="B379" s="1" t="s">
        <v>11</v>
      </c>
      <c r="C379" s="2">
        <v>45526</v>
      </c>
      <c r="D379" s="2">
        <v>45526</v>
      </c>
      <c r="E379" s="1" t="s">
        <v>12</v>
      </c>
      <c r="F379" s="1" t="s">
        <v>321</v>
      </c>
      <c r="G379" s="1" t="str">
        <f>IF(H379="","",IFERROR(INDEX(tblOrgs[Client Name],MATCH(H379,tblOrgs[Client ABN],0)),""))</f>
        <v>Hirecorp Pty Ltd</v>
      </c>
      <c r="H379" s="1">
        <v>12611161829</v>
      </c>
    </row>
    <row r="380" spans="1:8" x14ac:dyDescent="0.25">
      <c r="A380" s="1" t="s">
        <v>359</v>
      </c>
      <c r="B380" s="1" t="s">
        <v>11</v>
      </c>
      <c r="C380" s="2">
        <v>45537</v>
      </c>
      <c r="D380" s="2">
        <v>45537</v>
      </c>
      <c r="E380" s="1" t="s">
        <v>12</v>
      </c>
      <c r="F380" s="1" t="s">
        <v>13</v>
      </c>
      <c r="G380" s="1" t="str">
        <f>IF(H380="","",IFERROR(INDEX(tblOrgs[Client Name],MATCH(H380,tblOrgs[Client ABN],0)),""))</f>
        <v>F and Sons Transport Pty Ltd</v>
      </c>
      <c r="H380" s="1">
        <v>48109484004</v>
      </c>
    </row>
    <row r="381" spans="1:8" x14ac:dyDescent="0.25">
      <c r="A381" s="1" t="s">
        <v>335</v>
      </c>
      <c r="B381" s="1" t="s">
        <v>11</v>
      </c>
      <c r="C381" s="2">
        <v>45550</v>
      </c>
      <c r="D381" s="2">
        <v>45550</v>
      </c>
      <c r="E381" s="1" t="s">
        <v>12</v>
      </c>
      <c r="F381" s="1" t="s">
        <v>13</v>
      </c>
      <c r="G381" s="1" t="str">
        <f>IF(H381="","",IFERROR(INDEX(tblOrgs[Client Name],MATCH(H381,tblOrgs[Client ABN],0)),""))</f>
        <v>Astern Group Pty Ltd</v>
      </c>
      <c r="H381" s="1">
        <v>68609740105</v>
      </c>
    </row>
    <row r="382" spans="1:8" x14ac:dyDescent="0.25">
      <c r="A382" s="1" t="s">
        <v>325</v>
      </c>
      <c r="B382" s="1" t="s">
        <v>11</v>
      </c>
      <c r="C382" s="2">
        <v>45457</v>
      </c>
      <c r="D382" s="2">
        <v>45457</v>
      </c>
      <c r="E382" s="1" t="s">
        <v>12</v>
      </c>
      <c r="F382" s="1" t="s">
        <v>13</v>
      </c>
      <c r="G382" s="1" t="str">
        <f>IF(H382="","",IFERROR(INDEX(tblOrgs[Client Name],MATCH(H382,tblOrgs[Client ABN],0)),""))</f>
        <v>Abyss Construction Pty Ltd</v>
      </c>
      <c r="H382" s="1">
        <v>50614066223</v>
      </c>
    </row>
    <row r="383" spans="1:8" x14ac:dyDescent="0.25">
      <c r="A383" s="1" t="s">
        <v>380</v>
      </c>
      <c r="B383" s="1" t="s">
        <v>11</v>
      </c>
      <c r="C383" s="2">
        <v>45551</v>
      </c>
      <c r="D383" s="2">
        <v>45551</v>
      </c>
      <c r="E383" s="1" t="s">
        <v>12</v>
      </c>
      <c r="F383" s="1" t="s">
        <v>13</v>
      </c>
      <c r="G383" s="1" t="str">
        <f>IF(H383="","",IFERROR(INDEX(tblOrgs[Client Name],MATCH(H383,tblOrgs[Client ABN],0)),""))</f>
        <v>Mansour Paving (Aust) Pty Ltd</v>
      </c>
      <c r="H383" s="1">
        <v>13127365039</v>
      </c>
    </row>
    <row r="384" spans="1:8" x14ac:dyDescent="0.25">
      <c r="A384" s="1" t="s">
        <v>345</v>
      </c>
      <c r="B384" s="1" t="s">
        <v>11</v>
      </c>
      <c r="C384" s="2">
        <v>45543</v>
      </c>
      <c r="D384" s="2">
        <v>45543</v>
      </c>
      <c r="E384" s="1" t="s">
        <v>12</v>
      </c>
      <c r="F384" s="1" t="s">
        <v>13</v>
      </c>
      <c r="G384" s="1" t="str">
        <f>IF(H384="","",IFERROR(INDEX(tblOrgs[Client Name],MATCH(H384,tblOrgs[Client ABN],0)),""))</f>
        <v>Coates Hire Operations Pty Limited</v>
      </c>
      <c r="H384" s="1">
        <v>99074126971</v>
      </c>
    </row>
    <row r="385" spans="1:8" x14ac:dyDescent="0.25">
      <c r="A385" s="1" t="s">
        <v>361</v>
      </c>
      <c r="B385" s="1" t="s">
        <v>11</v>
      </c>
      <c r="C385" s="2">
        <v>45589</v>
      </c>
      <c r="D385" s="2">
        <v>45589</v>
      </c>
      <c r="E385" s="1" t="s">
        <v>12</v>
      </c>
      <c r="F385" s="1" t="s">
        <v>13</v>
      </c>
      <c r="G385" s="1" t="str">
        <f>IF(H385="","",IFERROR(INDEX(tblOrgs[Client Name],MATCH(H385,tblOrgs[Client ABN],0)),""))</f>
        <v>Focus Hire Pty Ltd</v>
      </c>
      <c r="H385" s="1">
        <v>27624650406</v>
      </c>
    </row>
    <row r="386" spans="1:8" x14ac:dyDescent="0.25">
      <c r="A386" s="1" t="s">
        <v>324</v>
      </c>
      <c r="B386" s="1" t="s">
        <v>11</v>
      </c>
      <c r="C386" s="2">
        <v>45584</v>
      </c>
      <c r="D386" s="2">
        <v>45584</v>
      </c>
      <c r="E386" s="1" t="s">
        <v>12</v>
      </c>
      <c r="F386" s="1" t="s">
        <v>13</v>
      </c>
      <c r="G386" s="1" t="str">
        <f>IF(H386="","",IFERROR(INDEX(tblOrgs[Client Name],MATCH(H386,tblOrgs[Client ABN],0)),""))</f>
        <v>Above Scaffolding Pty Ltd</v>
      </c>
      <c r="H386" s="1">
        <v>74073575201</v>
      </c>
    </row>
    <row r="387" spans="1:8" x14ac:dyDescent="0.25">
      <c r="A387" s="1" t="s">
        <v>382</v>
      </c>
      <c r="B387" s="1" t="s">
        <v>11</v>
      </c>
      <c r="C387" s="2">
        <v>45594</v>
      </c>
      <c r="D387" s="2">
        <v>45594</v>
      </c>
      <c r="E387" s="1" t="s">
        <v>12</v>
      </c>
      <c r="F387" s="1" t="s">
        <v>13</v>
      </c>
      <c r="G387" s="1" t="str">
        <f>IF(H387="","",IFERROR(INDEX(tblOrgs[Client Name],MATCH(H387,tblOrgs[Client ABN],0)),""))</f>
        <v>Mataniel Laurate Pty Ltd</v>
      </c>
      <c r="H387" s="1">
        <v>37094906028</v>
      </c>
    </row>
    <row r="388" spans="1:8" x14ac:dyDescent="0.25">
      <c r="A388" s="1" t="s">
        <v>351</v>
      </c>
      <c r="B388" s="1" t="s">
        <v>11</v>
      </c>
      <c r="C388" s="2">
        <v>45555</v>
      </c>
      <c r="D388" s="2">
        <v>45555</v>
      </c>
      <c r="E388" s="1" t="s">
        <v>12</v>
      </c>
      <c r="F388" s="1" t="s">
        <v>13</v>
      </c>
      <c r="G388" s="1" t="str">
        <f>IF(H388="","",IFERROR(INDEX(tblOrgs[Client Name],MATCH(H388,tblOrgs[Client ABN],0)),""))</f>
        <v>Delta Machine Kerbing Pty Ltd</v>
      </c>
      <c r="H388" s="1">
        <v>28068134672</v>
      </c>
    </row>
    <row r="389" spans="1:8" x14ac:dyDescent="0.25">
      <c r="A389" s="1" t="s">
        <v>407</v>
      </c>
      <c r="B389" s="1" t="s">
        <v>11</v>
      </c>
      <c r="C389" s="2">
        <v>45554</v>
      </c>
      <c r="D389" s="2">
        <v>45554</v>
      </c>
      <c r="E389" s="1" t="s">
        <v>12</v>
      </c>
      <c r="F389" s="1" t="s">
        <v>13</v>
      </c>
      <c r="G389" s="1" t="str">
        <f>IF(H389="","",IFERROR(INDEX(tblOrgs[Client Name],MATCH(H389,tblOrgs[Client ABN],0)),""))</f>
        <v>Speno Rail Maintenance Australia Pty Ltd</v>
      </c>
      <c r="H389" s="1">
        <v>30009206722</v>
      </c>
    </row>
    <row r="390" spans="1:8" x14ac:dyDescent="0.25">
      <c r="A390" s="1" t="s">
        <v>360</v>
      </c>
      <c r="B390" s="1" t="s">
        <v>11</v>
      </c>
      <c r="C390" s="2">
        <v>45587</v>
      </c>
      <c r="D390" s="2">
        <v>45587</v>
      </c>
      <c r="E390" s="1" t="s">
        <v>12</v>
      </c>
      <c r="F390" s="1" t="s">
        <v>13</v>
      </c>
      <c r="G390" s="1" t="str">
        <f>IF(H390="","",IFERROR(INDEX(tblOrgs[Client Name],MATCH(H390,tblOrgs[Client ABN],0)),""))</f>
        <v>Flomar Pty Ltd</v>
      </c>
      <c r="H390" s="1">
        <v>24617070407</v>
      </c>
    </row>
    <row r="391" spans="1:8" x14ac:dyDescent="0.25">
      <c r="A391" s="1" t="s">
        <v>381</v>
      </c>
      <c r="B391" s="1" t="s">
        <v>11</v>
      </c>
      <c r="C391" s="2">
        <v>45533</v>
      </c>
      <c r="D391" s="2">
        <v>45533</v>
      </c>
      <c r="E391" s="1" t="s">
        <v>12</v>
      </c>
      <c r="F391" s="1" t="s">
        <v>13</v>
      </c>
      <c r="G391" s="1" t="str">
        <f>IF(H391="","",IFERROR(INDEX(tblOrgs[Client Name],MATCH(H391,tblOrgs[Client ABN],0)),""))</f>
        <v>Marr Contracting Pty Ltd</v>
      </c>
      <c r="H391" s="1">
        <v>72001231607</v>
      </c>
    </row>
    <row r="392" spans="1:8" x14ac:dyDescent="0.25">
      <c r="A392" s="1" t="s">
        <v>376</v>
      </c>
      <c r="B392" s="1" t="s">
        <v>11</v>
      </c>
      <c r="C392" s="2">
        <v>45587</v>
      </c>
      <c r="D392" s="2">
        <v>45587</v>
      </c>
      <c r="E392" s="1" t="s">
        <v>12</v>
      </c>
      <c r="F392" s="1" t="s">
        <v>13</v>
      </c>
      <c r="G392" s="1" t="str">
        <f>IF(H392="","",IFERROR(INDEX(tblOrgs[Client Name],MATCH(H392,tblOrgs[Client ABN],0)),""))</f>
        <v>Kenny Constructions (Aust.) Pty. Limited</v>
      </c>
      <c r="H392" s="1">
        <v>74096169416</v>
      </c>
    </row>
    <row r="393" spans="1:8" x14ac:dyDescent="0.25">
      <c r="A393" s="1" t="s">
        <v>375</v>
      </c>
      <c r="B393" s="1" t="s">
        <v>11</v>
      </c>
      <c r="C393" s="2">
        <v>45587</v>
      </c>
      <c r="D393" s="2">
        <v>45587</v>
      </c>
      <c r="E393" s="1" t="s">
        <v>12</v>
      </c>
      <c r="F393" s="1" t="s">
        <v>13</v>
      </c>
      <c r="G393" s="1" t="str">
        <f>IF(H393="","",IFERROR(INDEX(tblOrgs[Client Name],MATCH(H393,tblOrgs[Client ABN],0)),""))</f>
        <v>Kenny Constructions (Aust.) Pty. Limited</v>
      </c>
      <c r="H393" s="1">
        <v>74096169416</v>
      </c>
    </row>
    <row r="394" spans="1:8" x14ac:dyDescent="0.25">
      <c r="A394" s="1" t="s">
        <v>386</v>
      </c>
      <c r="B394" s="1" t="s">
        <v>11</v>
      </c>
      <c r="C394" s="2">
        <v>45579</v>
      </c>
      <c r="D394" s="2">
        <v>45579</v>
      </c>
      <c r="E394" s="1" t="s">
        <v>12</v>
      </c>
      <c r="F394" s="1" t="s">
        <v>13</v>
      </c>
      <c r="G394" s="1" t="str">
        <f>IF(H394="","",IFERROR(INDEX(tblOrgs[Client Name],MATCH(H394,tblOrgs[Client ABN],0)),""))</f>
        <v>MJB Contractors Pty Ltd</v>
      </c>
      <c r="H394" s="1">
        <v>11091247951</v>
      </c>
    </row>
    <row r="395" spans="1:8" x14ac:dyDescent="0.25">
      <c r="A395" s="1" t="s">
        <v>420</v>
      </c>
      <c r="B395" s="1" t="s">
        <v>11</v>
      </c>
      <c r="C395" s="2">
        <v>45572</v>
      </c>
      <c r="D395" s="2">
        <v>45572</v>
      </c>
      <c r="E395" s="1" t="s">
        <v>12</v>
      </c>
      <c r="F395" s="1" t="s">
        <v>13</v>
      </c>
      <c r="G395" s="1" t="str">
        <f>IF(H395="","",IFERROR(INDEX(tblOrgs[Client Name],MATCH(H395,tblOrgs[Client ABN],0)),""))</f>
        <v>Vaughan Civil Pty Ltd</v>
      </c>
      <c r="H395" s="1">
        <v>50152638447</v>
      </c>
    </row>
    <row r="396" spans="1:8" x14ac:dyDescent="0.25">
      <c r="A396" s="1" t="s">
        <v>377</v>
      </c>
      <c r="B396" s="1" t="s">
        <v>11</v>
      </c>
      <c r="C396" s="2">
        <v>45582</v>
      </c>
      <c r="D396" s="2">
        <v>45582</v>
      </c>
      <c r="E396" s="1" t="s">
        <v>12</v>
      </c>
      <c r="F396" s="1" t="s">
        <v>13</v>
      </c>
      <c r="G396" s="1" t="str">
        <f>IF(H396="","",IFERROR(INDEX(tblOrgs[Client Name],MATCH(H396,tblOrgs[Client ABN],0)),""))</f>
        <v>LCR Group Pty Ltd</v>
      </c>
      <c r="H396" s="1">
        <v>78095626798</v>
      </c>
    </row>
    <row r="397" spans="1:8" x14ac:dyDescent="0.25">
      <c r="A397" s="1" t="s">
        <v>387</v>
      </c>
      <c r="B397" s="1" t="s">
        <v>11</v>
      </c>
      <c r="C397" s="2">
        <v>45597</v>
      </c>
      <c r="D397" s="2">
        <v>45597</v>
      </c>
      <c r="E397" s="1" t="s">
        <v>12</v>
      </c>
      <c r="F397" s="1" t="s">
        <v>13</v>
      </c>
      <c r="G397" s="1" t="str">
        <f>IF(H397="","",IFERROR(INDEX(tblOrgs[Client Name],MATCH(H397,tblOrgs[Client ABN],0)),""))</f>
        <v>Modcast Pty Ltd</v>
      </c>
      <c r="H397" s="1">
        <v>30626198847</v>
      </c>
    </row>
    <row r="398" spans="1:8" x14ac:dyDescent="0.25">
      <c r="A398" s="1" t="s">
        <v>408</v>
      </c>
      <c r="B398" s="1" t="s">
        <v>11</v>
      </c>
      <c r="C398" s="2">
        <v>45598</v>
      </c>
      <c r="D398" s="2">
        <v>45598</v>
      </c>
      <c r="E398" s="1" t="s">
        <v>12</v>
      </c>
      <c r="F398" s="1" t="s">
        <v>13</v>
      </c>
      <c r="G398" s="1" t="str">
        <f>IF(H398="","",IFERROR(INDEX(tblOrgs[Client Name],MATCH(H398,tblOrgs[Client ABN],0)),""))</f>
        <v>Stephens Plant Hire Pty Ltd</v>
      </c>
      <c r="H398" s="1">
        <v>41612483011</v>
      </c>
    </row>
    <row r="399" spans="1:8" x14ac:dyDescent="0.25">
      <c r="A399" s="1" t="s">
        <v>419</v>
      </c>
      <c r="B399" s="1" t="s">
        <v>11</v>
      </c>
      <c r="C399" s="2">
        <v>45622</v>
      </c>
      <c r="D399" s="2">
        <v>45622</v>
      </c>
      <c r="E399" s="1" t="s">
        <v>12</v>
      </c>
      <c r="F399" s="1" t="s">
        <v>13</v>
      </c>
      <c r="G399" s="1" t="str">
        <f>IF(H399="","",IFERROR(INDEX(tblOrgs[Client Name],MATCH(H399,tblOrgs[Client ABN],0)),""))</f>
        <v>Trevi Australia Pty Ltd</v>
      </c>
      <c r="H399" s="1">
        <v>91161293401</v>
      </c>
    </row>
    <row r="400" spans="1:8" x14ac:dyDescent="0.25">
      <c r="A400" s="1" t="s">
        <v>370</v>
      </c>
      <c r="B400" s="1" t="s">
        <v>11</v>
      </c>
      <c r="C400" s="2">
        <v>45450</v>
      </c>
      <c r="D400" s="2">
        <v>45450</v>
      </c>
      <c r="E400" s="1" t="s">
        <v>12</v>
      </c>
      <c r="F400" s="1" t="s">
        <v>13</v>
      </c>
      <c r="G400" s="1" t="str">
        <f>IF(H400="","",IFERROR(INDEX(tblOrgs[Client Name],MATCH(H400,tblOrgs[Client ABN],0)),""))</f>
        <v>Holcim (Australia) Pty Ltd</v>
      </c>
      <c r="H400" s="1">
        <v>87099732297</v>
      </c>
    </row>
    <row r="401" spans="1:8" x14ac:dyDescent="0.25">
      <c r="A401" s="1" t="s">
        <v>429</v>
      </c>
      <c r="B401" s="1" t="s">
        <v>11</v>
      </c>
      <c r="C401" s="2">
        <v>45588</v>
      </c>
      <c r="D401" s="2">
        <v>45588</v>
      </c>
      <c r="E401" s="1" t="s">
        <v>12</v>
      </c>
      <c r="F401" s="1" t="s">
        <v>62</v>
      </c>
      <c r="G401" s="1" t="str">
        <f>IF(H401="","",IFERROR(INDEX(tblOrgs[Client Name],MATCH(H401,tblOrgs[Client ABN],0)),""))</f>
        <v>Wallace Concrete Pumping Pty Ltd</v>
      </c>
      <c r="H401" s="1">
        <v>49157958177</v>
      </c>
    </row>
    <row r="402" spans="1:8" x14ac:dyDescent="0.25">
      <c r="A402" s="1" t="s">
        <v>415</v>
      </c>
      <c r="B402" s="1" t="s">
        <v>11</v>
      </c>
      <c r="C402" s="2">
        <v>45613</v>
      </c>
      <c r="D402" s="2">
        <v>45613</v>
      </c>
      <c r="E402" s="1" t="s">
        <v>12</v>
      </c>
      <c r="F402" s="1" t="s">
        <v>13</v>
      </c>
      <c r="G402" s="1" t="str">
        <f>IF(H402="","",IFERROR(INDEX(tblOrgs[Client Name],MATCH(H402,tblOrgs[Client ABN],0)),""))</f>
        <v>T. Eilbeck &amp; Son Pty Ltd</v>
      </c>
      <c r="H402" s="1">
        <v>22295128214</v>
      </c>
    </row>
    <row r="403" spans="1:8" x14ac:dyDescent="0.25">
      <c r="A403" s="1" t="s">
        <v>348</v>
      </c>
      <c r="B403" s="1" t="s">
        <v>11</v>
      </c>
      <c r="C403" s="2">
        <v>45618</v>
      </c>
      <c r="D403" s="2">
        <v>45618</v>
      </c>
      <c r="E403" s="1" t="s">
        <v>12</v>
      </c>
      <c r="F403" s="1" t="s">
        <v>13</v>
      </c>
      <c r="G403" s="1" t="str">
        <f>IF(H403="","",IFERROR(INDEX(tblOrgs[Client Name],MATCH(H403,tblOrgs[Client ABN],0)),""))</f>
        <v>Cono Services Pty Ltd</v>
      </c>
      <c r="H403" s="1">
        <v>90167205656</v>
      </c>
    </row>
    <row r="404" spans="1:8" x14ac:dyDescent="0.25">
      <c r="A404" s="1" t="s">
        <v>358</v>
      </c>
      <c r="B404" s="1" t="s">
        <v>11</v>
      </c>
      <c r="C404" s="2">
        <v>45598</v>
      </c>
      <c r="D404" s="2">
        <v>45598</v>
      </c>
      <c r="E404" s="1" t="s">
        <v>12</v>
      </c>
      <c r="F404" s="1" t="s">
        <v>13</v>
      </c>
      <c r="G404" s="1" t="str">
        <f>IF(H404="","",IFERROR(INDEX(tblOrgs[Client Name],MATCH(H404,tblOrgs[Client ABN],0)),""))</f>
        <v>Evolution Group Holdings Pty Ltd</v>
      </c>
      <c r="H404" s="1">
        <v>14147834133</v>
      </c>
    </row>
    <row r="405" spans="1:8" x14ac:dyDescent="0.25">
      <c r="A405" s="1" t="s">
        <v>402</v>
      </c>
      <c r="B405" s="1" t="s">
        <v>11</v>
      </c>
      <c r="C405" s="2">
        <v>45597</v>
      </c>
      <c r="D405" s="2">
        <v>45597</v>
      </c>
      <c r="E405" s="1" t="s">
        <v>12</v>
      </c>
      <c r="F405" s="1" t="s">
        <v>13</v>
      </c>
      <c r="G405" s="1" t="str">
        <f>IF(H405="","",IFERROR(INDEX(tblOrgs[Client Name],MATCH(H405,tblOrgs[Client ABN],0)),""))</f>
        <v>Reinforced Earth Pty Ltd</v>
      </c>
      <c r="H405" s="1">
        <v>53001215327</v>
      </c>
    </row>
    <row r="406" spans="1:8" x14ac:dyDescent="0.25">
      <c r="A406" s="1" t="s">
        <v>397</v>
      </c>
      <c r="B406" s="1" t="s">
        <v>11</v>
      </c>
      <c r="C406" s="2">
        <v>45625</v>
      </c>
      <c r="D406" s="2">
        <v>45625</v>
      </c>
      <c r="E406" s="1" t="s">
        <v>12</v>
      </c>
      <c r="F406" s="1" t="s">
        <v>13</v>
      </c>
      <c r="G406" s="1" t="str">
        <f>IF(H406="","",IFERROR(INDEX(tblOrgs[Client Name],MATCH(H406,tblOrgs[Client ABN],0)),""))</f>
        <v>RAF Civil Pty Ltd</v>
      </c>
      <c r="H406" s="1">
        <v>53623928003</v>
      </c>
    </row>
    <row r="407" spans="1:8" x14ac:dyDescent="0.25">
      <c r="A407" s="1" t="s">
        <v>322</v>
      </c>
      <c r="B407" s="1" t="s">
        <v>11</v>
      </c>
      <c r="C407" s="2">
        <v>45617</v>
      </c>
      <c r="D407" s="2">
        <v>45617</v>
      </c>
      <c r="E407" s="1" t="s">
        <v>12</v>
      </c>
      <c r="F407" s="1" t="s">
        <v>13</v>
      </c>
      <c r="G407" s="1" t="str">
        <f>IF(H407="","",IFERROR(INDEX(tblOrgs[Client Name],MATCH(H407,tblOrgs[Client ABN],0)),""))</f>
        <v>24/7 Fuels Pty Ltd</v>
      </c>
      <c r="H407" s="1">
        <v>17613791512</v>
      </c>
    </row>
    <row r="408" spans="1:8" x14ac:dyDescent="0.25">
      <c r="A408" s="1" t="s">
        <v>362</v>
      </c>
      <c r="B408" s="1" t="s">
        <v>11</v>
      </c>
      <c r="C408" s="2">
        <v>45639</v>
      </c>
      <c r="D408" s="2">
        <v>45639</v>
      </c>
      <c r="E408" s="1" t="s">
        <v>12</v>
      </c>
      <c r="F408" s="1" t="s">
        <v>13</v>
      </c>
      <c r="G408" s="1" t="str">
        <f>IF(H408="","",IFERROR(INDEX(tblOrgs[Client Name],MATCH(H408,tblOrgs[Client ABN],0)),""))</f>
        <v>Freight Movement Pty Ltd</v>
      </c>
      <c r="H408" s="1">
        <v>61130823933</v>
      </c>
    </row>
    <row r="409" spans="1:8" x14ac:dyDescent="0.25">
      <c r="A409" s="1" t="s">
        <v>366</v>
      </c>
      <c r="B409" s="1" t="s">
        <v>11</v>
      </c>
      <c r="C409" s="2">
        <v>45634</v>
      </c>
      <c r="D409" s="2">
        <v>45634</v>
      </c>
      <c r="E409" s="1" t="s">
        <v>12</v>
      </c>
      <c r="F409" s="1" t="s">
        <v>13</v>
      </c>
      <c r="G409" s="1" t="str">
        <f>IF(H409="","",IFERROR(INDEX(tblOrgs[Client Name],MATCH(H409,tblOrgs[Client ABN],0)),""))</f>
        <v>Hex Hire Pty Ltd</v>
      </c>
      <c r="H409" s="1">
        <v>74848500748</v>
      </c>
    </row>
    <row r="410" spans="1:8" x14ac:dyDescent="0.25">
      <c r="A410" s="1" t="s">
        <v>416</v>
      </c>
      <c r="B410" s="1" t="s">
        <v>11</v>
      </c>
      <c r="C410" s="2">
        <v>45626</v>
      </c>
      <c r="D410" s="2">
        <v>45626</v>
      </c>
      <c r="E410" s="1" t="s">
        <v>12</v>
      </c>
      <c r="F410" s="1" t="s">
        <v>13</v>
      </c>
      <c r="G410" s="1" t="str">
        <f>IF(H410="","",IFERROR(INDEX(tblOrgs[Client Name],MATCH(H410,tblOrgs[Client ABN],0)),""))</f>
        <v>Taylors Freight Transport Pty Ltd</v>
      </c>
      <c r="H410" s="1">
        <v>91136398126</v>
      </c>
    </row>
    <row r="411" spans="1:8" x14ac:dyDescent="0.25">
      <c r="A411" s="1" t="s">
        <v>365</v>
      </c>
      <c r="B411" s="1" t="s">
        <v>11</v>
      </c>
      <c r="C411" s="2">
        <v>45634</v>
      </c>
      <c r="D411" s="2">
        <v>45634</v>
      </c>
      <c r="E411" s="1" t="s">
        <v>12</v>
      </c>
      <c r="F411" s="1" t="s">
        <v>13</v>
      </c>
      <c r="G411" s="1" t="str">
        <f>IF(H411="","",IFERROR(INDEX(tblOrgs[Client Name],MATCH(H411,tblOrgs[Client ABN],0)),""))</f>
        <v>HDD Drilling Pty Ltd</v>
      </c>
      <c r="H411" s="1">
        <v>20654502557</v>
      </c>
    </row>
    <row r="412" spans="1:8" x14ac:dyDescent="0.25">
      <c r="A412" s="1" t="s">
        <v>401</v>
      </c>
      <c r="B412" s="1" t="s">
        <v>11</v>
      </c>
      <c r="C412" s="2">
        <v>45597</v>
      </c>
      <c r="D412" s="2">
        <v>45597</v>
      </c>
      <c r="E412" s="1" t="s">
        <v>12</v>
      </c>
      <c r="F412" s="1" t="s">
        <v>13</v>
      </c>
      <c r="G412" s="1" t="str">
        <f>IF(H412="","",IFERROR(INDEX(tblOrgs[Client Name],MATCH(H412,tblOrgs[Client ABN],0)),""))</f>
        <v>Refire Group Pty Ltd</v>
      </c>
      <c r="H412" s="1">
        <v>72633993218</v>
      </c>
    </row>
    <row r="413" spans="1:8" x14ac:dyDescent="0.25">
      <c r="A413" s="1" t="s">
        <v>374</v>
      </c>
      <c r="B413" s="1" t="s">
        <v>11</v>
      </c>
      <c r="C413" s="2">
        <v>45623</v>
      </c>
      <c r="D413" s="2">
        <v>45623</v>
      </c>
      <c r="E413" s="1" t="s">
        <v>12</v>
      </c>
      <c r="F413" s="1" t="s">
        <v>13</v>
      </c>
      <c r="G413" s="1" t="str">
        <f>IF(H413="","",IFERROR(INDEX(tblOrgs[Client Name],MATCH(H413,tblOrgs[Client ABN],0)),""))</f>
        <v>Kelko Construction Pty. Ltd</v>
      </c>
      <c r="H413" s="1">
        <v>18163328694</v>
      </c>
    </row>
    <row r="414" spans="1:8" x14ac:dyDescent="0.25">
      <c r="A414" s="1" t="s">
        <v>383</v>
      </c>
      <c r="B414" s="1" t="s">
        <v>11</v>
      </c>
      <c r="C414" s="2">
        <v>45395</v>
      </c>
      <c r="D414" s="2">
        <v>45395</v>
      </c>
      <c r="E414" s="1" t="s">
        <v>12</v>
      </c>
      <c r="F414" s="1" t="s">
        <v>13</v>
      </c>
      <c r="G414" s="1" t="str">
        <f>IF(H414="","",IFERROR(INDEX(tblOrgs[Client Name],MATCH(H414,tblOrgs[Client ABN],0)),""))</f>
        <v>Matrix Drilling Australia Pty Ltd</v>
      </c>
      <c r="H414" s="1">
        <v>65631934971</v>
      </c>
    </row>
    <row r="415" spans="1:8" x14ac:dyDescent="0.25">
      <c r="A415" s="1" t="s">
        <v>395</v>
      </c>
      <c r="B415" s="1" t="s">
        <v>11</v>
      </c>
      <c r="C415" s="2">
        <v>45626</v>
      </c>
      <c r="D415" s="2">
        <v>45626</v>
      </c>
      <c r="E415" s="1" t="s">
        <v>12</v>
      </c>
      <c r="F415" s="1" t="s">
        <v>13</v>
      </c>
      <c r="G415" s="1" t="str">
        <f>IF(H415="","",IFERROR(INDEX(tblOrgs[Client Name],MATCH(H415,tblOrgs[Client ABN],0)),""))</f>
        <v>Q Electrical Services Pty Ltd</v>
      </c>
      <c r="H415" s="1">
        <v>70068064817</v>
      </c>
    </row>
    <row r="416" spans="1:8" x14ac:dyDescent="0.25">
      <c r="A416" s="1" t="s">
        <v>485</v>
      </c>
      <c r="B416" s="1" t="s">
        <v>11</v>
      </c>
      <c r="C416" s="2">
        <v>45688</v>
      </c>
      <c r="D416" s="2">
        <v>45688</v>
      </c>
      <c r="E416" s="1" t="s">
        <v>12</v>
      </c>
      <c r="F416" s="1" t="s">
        <v>13</v>
      </c>
      <c r="G416" s="1" t="str">
        <f>IF(H416="","",IFERROR(INDEX(tblOrgs[Client Name],MATCH(H416,tblOrgs[Client ABN],0)),""))</f>
        <v>Mitchcon Pty Ltd</v>
      </c>
      <c r="H416" s="1">
        <v>82060623752</v>
      </c>
    </row>
    <row r="417" spans="1:8" x14ac:dyDescent="0.25">
      <c r="A417" s="1" t="s">
        <v>459</v>
      </c>
      <c r="B417" s="1" t="s">
        <v>11</v>
      </c>
      <c r="C417" s="2">
        <v>45688</v>
      </c>
      <c r="D417" s="2">
        <v>45688</v>
      </c>
      <c r="E417" s="1" t="s">
        <v>12</v>
      </c>
      <c r="F417" s="1" t="s">
        <v>13</v>
      </c>
      <c r="G417" s="1" t="str">
        <f>IF(H417="","",IFERROR(INDEX(tblOrgs[Client Name],MATCH(H417,tblOrgs[Client ABN],0)),""))</f>
        <v>Eire Midland Constructions Pty Ltd</v>
      </c>
      <c r="H417" s="1">
        <v>45079929687</v>
      </c>
    </row>
    <row r="418" spans="1:8" x14ac:dyDescent="0.25">
      <c r="A418" s="1" t="s">
        <v>494</v>
      </c>
      <c r="B418" s="1" t="s">
        <v>11</v>
      </c>
      <c r="C418" s="2">
        <v>45682</v>
      </c>
      <c r="D418" s="2">
        <v>45682</v>
      </c>
      <c r="E418" s="1" t="s">
        <v>12</v>
      </c>
      <c r="F418" s="1" t="s">
        <v>13</v>
      </c>
      <c r="G418" s="1" t="str">
        <f>IF(H418="","",IFERROR(INDEX(tblOrgs[Client Name],MATCH(H418,tblOrgs[Client ABN],0)),""))</f>
        <v>Rail Control Systems Australia Pty Ltd</v>
      </c>
      <c r="H418" s="1">
        <v>42137934055</v>
      </c>
    </row>
    <row r="419" spans="1:8" x14ac:dyDescent="0.25">
      <c r="A419" s="1" t="s">
        <v>514</v>
      </c>
      <c r="B419" s="1" t="s">
        <v>11</v>
      </c>
      <c r="C419" s="2">
        <v>45668</v>
      </c>
      <c r="D419" s="2">
        <v>45668</v>
      </c>
      <c r="E419" s="1" t="s">
        <v>12</v>
      </c>
      <c r="F419" s="1" t="s">
        <v>13</v>
      </c>
      <c r="G419" s="1" t="str">
        <f>IF(H419="","",IFERROR(INDEX(tblOrgs[Client Name],MATCH(H419,tblOrgs[Client ABN],0)),""))</f>
        <v>Wessel Drilling Pty Ltd</v>
      </c>
      <c r="H419" s="1">
        <v>88604544023</v>
      </c>
    </row>
    <row r="420" spans="1:8" x14ac:dyDescent="0.25">
      <c r="A420" s="1" t="s">
        <v>327</v>
      </c>
      <c r="B420" s="1" t="s">
        <v>11</v>
      </c>
      <c r="C420" s="2">
        <v>45644</v>
      </c>
      <c r="D420" s="2">
        <v>45644</v>
      </c>
      <c r="E420" s="1" t="s">
        <v>12</v>
      </c>
      <c r="F420" s="1" t="s">
        <v>13</v>
      </c>
      <c r="G420" s="1" t="str">
        <f>IF(H420="","",IFERROR(INDEX(tblOrgs[Client Name],MATCH(H420,tblOrgs[Client ABN],0)),""))</f>
        <v>Adamson Earthmovers Services Pty Ltd</v>
      </c>
      <c r="H420" s="1">
        <v>83641467558</v>
      </c>
    </row>
    <row r="421" spans="1:8" x14ac:dyDescent="0.25">
      <c r="A421" s="1" t="s">
        <v>413</v>
      </c>
      <c r="B421" s="1" t="s">
        <v>11</v>
      </c>
      <c r="C421" s="2">
        <v>45612</v>
      </c>
      <c r="D421" s="2">
        <v>45612</v>
      </c>
      <c r="E421" s="1" t="s">
        <v>12</v>
      </c>
      <c r="F421" s="1" t="s">
        <v>13</v>
      </c>
      <c r="G421" s="1" t="str">
        <f>IF(H421="","",IFERROR(INDEX(tblOrgs[Client Name],MATCH(H421,tblOrgs[Client ABN],0)),""))</f>
        <v>Symal Group Pty Ltd</v>
      </c>
      <c r="H421" s="1">
        <v>72615255466</v>
      </c>
    </row>
    <row r="422" spans="1:8" x14ac:dyDescent="0.25">
      <c r="A422" s="1" t="s">
        <v>433</v>
      </c>
      <c r="B422" s="1" t="s">
        <v>11</v>
      </c>
      <c r="C422" s="2">
        <v>45688</v>
      </c>
      <c r="D422" s="2">
        <v>45688</v>
      </c>
      <c r="E422" s="1" t="s">
        <v>12</v>
      </c>
      <c r="F422" s="1" t="s">
        <v>13</v>
      </c>
      <c r="G422" s="1" t="str">
        <f>IF(H422="","",IFERROR(INDEX(tblOrgs[Client Name],MATCH(H422,tblOrgs[Client ABN],0)),""))</f>
        <v>Alimak Group Australia Pty Ltd</v>
      </c>
      <c r="H422" s="1">
        <v>80005538947</v>
      </c>
    </row>
    <row r="423" spans="1:8" x14ac:dyDescent="0.25">
      <c r="A423" s="1" t="s">
        <v>440</v>
      </c>
      <c r="B423" s="1" t="s">
        <v>11</v>
      </c>
      <c r="C423" s="2">
        <v>45674</v>
      </c>
      <c r="D423" s="2">
        <v>45674</v>
      </c>
      <c r="E423" s="1" t="s">
        <v>12</v>
      </c>
      <c r="F423" s="1" t="s">
        <v>13</v>
      </c>
      <c r="G423" s="1" t="str">
        <f>IF(H423="","",IFERROR(INDEX(tblOrgs[Client Name],MATCH(H423,tblOrgs[Client ABN],0)),""))</f>
        <v>Australian Utilities Management Pty Ltd</v>
      </c>
      <c r="H423" s="1">
        <v>50140551104</v>
      </c>
    </row>
    <row r="424" spans="1:8" x14ac:dyDescent="0.25">
      <c r="A424" s="1" t="s">
        <v>507</v>
      </c>
      <c r="B424" s="1" t="s">
        <v>11</v>
      </c>
      <c r="C424" s="2">
        <v>45711</v>
      </c>
      <c r="D424" s="2">
        <v>45711</v>
      </c>
      <c r="E424" s="1" t="s">
        <v>12</v>
      </c>
      <c r="F424" s="1" t="s">
        <v>13</v>
      </c>
      <c r="G424" s="1" t="str">
        <f>IF(H424="","",IFERROR(INDEX(tblOrgs[Client Name],MATCH(H424,tblOrgs[Client ABN],0)),""))</f>
        <v>The Rix Group Pty Ltd</v>
      </c>
      <c r="H424" s="1">
        <v>50092239113</v>
      </c>
    </row>
    <row r="425" spans="1:8" x14ac:dyDescent="0.25">
      <c r="A425" s="1" t="s">
        <v>465</v>
      </c>
      <c r="B425" s="1" t="s">
        <v>11</v>
      </c>
      <c r="C425" s="2">
        <v>45714</v>
      </c>
      <c r="D425" s="2">
        <v>45714</v>
      </c>
      <c r="E425" s="1" t="s">
        <v>12</v>
      </c>
      <c r="F425" s="1" t="s">
        <v>13</v>
      </c>
      <c r="G425" s="1" t="str">
        <f>IF(H425="","",IFERROR(INDEX(tblOrgs[Client Name],MATCH(H425,tblOrgs[Client ABN],0)),""))</f>
        <v>Fugen Masonry Contractors (Qld) Pty Limited</v>
      </c>
      <c r="H425" s="1">
        <v>75097686130</v>
      </c>
    </row>
    <row r="426" spans="1:8" x14ac:dyDescent="0.25">
      <c r="A426" s="1" t="s">
        <v>503</v>
      </c>
      <c r="B426" s="1" t="s">
        <v>11</v>
      </c>
      <c r="C426" s="2">
        <v>45700</v>
      </c>
      <c r="D426" s="2">
        <v>45700</v>
      </c>
      <c r="E426" s="1" t="s">
        <v>12</v>
      </c>
      <c r="F426" s="1" t="s">
        <v>13</v>
      </c>
      <c r="G426" s="1" t="str">
        <f>IF(H426="","",IFERROR(INDEX(tblOrgs[Client Name],MATCH(H426,tblOrgs[Client ABN],0)),""))</f>
        <v>Suas Civil Pty Ltd</v>
      </c>
      <c r="H426" s="1">
        <v>71630275222</v>
      </c>
    </row>
    <row r="427" spans="1:8" x14ac:dyDescent="0.25">
      <c r="A427" s="1" t="s">
        <v>447</v>
      </c>
      <c r="B427" s="1" t="s">
        <v>11</v>
      </c>
      <c r="C427" s="2">
        <v>45698</v>
      </c>
      <c r="D427" s="2">
        <v>45698</v>
      </c>
      <c r="E427" s="1" t="s">
        <v>12</v>
      </c>
      <c r="F427" s="1" t="s">
        <v>13</v>
      </c>
      <c r="G427" s="1" t="str">
        <f>IF(H427="","",IFERROR(INDEX(tblOrgs[Client Name],MATCH(H427,tblOrgs[Client ABN],0)),""))</f>
        <v>Chess Engineering Pty Ltd</v>
      </c>
      <c r="H427" s="1">
        <v>37000615056</v>
      </c>
    </row>
    <row r="428" spans="1:8" x14ac:dyDescent="0.25">
      <c r="A428" s="1" t="s">
        <v>463</v>
      </c>
      <c r="B428" s="1" t="s">
        <v>11</v>
      </c>
      <c r="C428" s="2">
        <v>45709</v>
      </c>
      <c r="D428" s="2">
        <v>45709</v>
      </c>
      <c r="E428" s="1" t="s">
        <v>12</v>
      </c>
      <c r="F428" s="1" t="s">
        <v>13</v>
      </c>
      <c r="G428" s="1" t="str">
        <f>IF(H428="","",IFERROR(INDEX(tblOrgs[Client Name],MATCH(H428,tblOrgs[Client ABN],0)),""))</f>
        <v>Ferrycarrig Construction Pty Ltd</v>
      </c>
      <c r="H428" s="1">
        <v>70612915367</v>
      </c>
    </row>
    <row r="429" spans="1:8" x14ac:dyDescent="0.25">
      <c r="A429" s="1" t="s">
        <v>475</v>
      </c>
      <c r="B429" s="1" t="s">
        <v>11</v>
      </c>
      <c r="C429" s="2">
        <v>45713</v>
      </c>
      <c r="D429" s="2">
        <v>45713</v>
      </c>
      <c r="E429" s="1" t="s">
        <v>12</v>
      </c>
      <c r="F429" s="1" t="s">
        <v>13</v>
      </c>
      <c r="G429" s="1" t="str">
        <f>IF(H429="","",IFERROR(INDEX(tblOrgs[Client Name],MATCH(H429,tblOrgs[Client ABN],0)),""))</f>
        <v>Kwill Constructions Pty Ltd</v>
      </c>
      <c r="H429" s="1">
        <v>96146398478</v>
      </c>
    </row>
    <row r="430" spans="1:8" x14ac:dyDescent="0.25">
      <c r="A430" s="1" t="s">
        <v>498</v>
      </c>
      <c r="B430" s="1" t="s">
        <v>11</v>
      </c>
      <c r="C430" s="2">
        <v>45744</v>
      </c>
      <c r="D430" s="2">
        <v>45744</v>
      </c>
      <c r="E430" s="1" t="s">
        <v>12</v>
      </c>
      <c r="F430" s="1" t="s">
        <v>13</v>
      </c>
      <c r="G430" s="1" t="str">
        <f>IF(H430="","",IFERROR(INDEX(tblOrgs[Client Name],MATCH(H430,tblOrgs[Client ABN],0)),""))</f>
        <v>Seadar Contractors Pty Ltd</v>
      </c>
      <c r="H430" s="1">
        <v>52600073087</v>
      </c>
    </row>
    <row r="431" spans="1:8" x14ac:dyDescent="0.25">
      <c r="A431" s="1" t="s">
        <v>497</v>
      </c>
      <c r="B431" s="1" t="s">
        <v>11</v>
      </c>
      <c r="C431" s="2">
        <v>45720</v>
      </c>
      <c r="D431" s="2">
        <v>45720</v>
      </c>
      <c r="E431" s="1" t="s">
        <v>12</v>
      </c>
      <c r="F431" s="1" t="s">
        <v>13</v>
      </c>
      <c r="G431" s="1" t="str">
        <f>IF(H431="","",IFERROR(INDEX(tblOrgs[Client Name],MATCH(H431,tblOrgs[Client ABN],0)),""))</f>
        <v>Rojoe Pty Ltd</v>
      </c>
      <c r="H431" s="1">
        <v>38093127256</v>
      </c>
    </row>
    <row r="432" spans="1:8" x14ac:dyDescent="0.25">
      <c r="A432" s="1" t="s">
        <v>516</v>
      </c>
      <c r="B432" s="1" t="s">
        <v>11</v>
      </c>
      <c r="C432" s="2">
        <v>45738</v>
      </c>
      <c r="D432" s="2">
        <v>45738</v>
      </c>
      <c r="E432" s="1" t="s">
        <v>12</v>
      </c>
      <c r="F432" s="1" t="s">
        <v>13</v>
      </c>
      <c r="G432" s="1" t="str">
        <f>IF(H432="","",IFERROR(INDEX(tblOrgs[Client Name],MATCH(H432,tblOrgs[Client ABN],0)),""))</f>
        <v>Xtra Mile Trucking Pty Ltd</v>
      </c>
      <c r="H432" s="1">
        <v>97153464469</v>
      </c>
    </row>
    <row r="433" spans="1:8" x14ac:dyDescent="0.25">
      <c r="A433" s="1" t="s">
        <v>450</v>
      </c>
      <c r="B433" s="1" t="s">
        <v>11</v>
      </c>
      <c r="C433" s="2">
        <v>45720</v>
      </c>
      <c r="D433" s="2">
        <v>45720</v>
      </c>
      <c r="E433" s="1" t="s">
        <v>12</v>
      </c>
      <c r="F433" s="1" t="s">
        <v>13</v>
      </c>
      <c r="G433" s="1" t="str">
        <f>IF(H433="","",IFERROR(INDEX(tblOrgs[Client Name],MATCH(H433,tblOrgs[Client ABN],0)),""))</f>
        <v>Clifton Formwork (Vic) Pty Ltd</v>
      </c>
      <c r="H433" s="1">
        <v>30099948786</v>
      </c>
    </row>
    <row r="434" spans="1:8" x14ac:dyDescent="0.25">
      <c r="A434" s="1" t="s">
        <v>477</v>
      </c>
      <c r="B434" s="1" t="s">
        <v>11</v>
      </c>
      <c r="C434" s="2">
        <v>45757</v>
      </c>
      <c r="D434" s="2">
        <v>45757</v>
      </c>
      <c r="E434" s="1" t="s">
        <v>12</v>
      </c>
      <c r="F434" s="1" t="s">
        <v>13</v>
      </c>
      <c r="G434" s="1" t="str">
        <f>IF(H434="","",IFERROR(INDEX(tblOrgs[Client Name],MATCH(H434,tblOrgs[Client ABN],0)),""))</f>
        <v>Lewiston Haulage Pty Ltd</v>
      </c>
      <c r="H434" s="1">
        <v>33631206178</v>
      </c>
    </row>
    <row r="435" spans="1:8" x14ac:dyDescent="0.25">
      <c r="A435" s="1" t="s">
        <v>441</v>
      </c>
      <c r="B435" s="1" t="s">
        <v>11</v>
      </c>
      <c r="C435" s="2">
        <v>45741</v>
      </c>
      <c r="D435" s="2">
        <v>45741</v>
      </c>
      <c r="E435" s="1" t="s">
        <v>12</v>
      </c>
      <c r="F435" s="1" t="s">
        <v>13</v>
      </c>
      <c r="G435" s="1" t="str">
        <f>IF(H435="","",IFERROR(INDEX(tblOrgs[Client Name],MATCH(H435,tblOrgs[Client ABN],0)),""))</f>
        <v>Avopiling Services (NSW) Pty Ltd</v>
      </c>
      <c r="H435" s="1">
        <v>11165683349</v>
      </c>
    </row>
    <row r="436" spans="1:8" x14ac:dyDescent="0.25">
      <c r="A436" s="1" t="s">
        <v>501</v>
      </c>
      <c r="B436" s="1" t="s">
        <v>11</v>
      </c>
      <c r="C436" s="2">
        <v>45761</v>
      </c>
      <c r="D436" s="2">
        <v>45761</v>
      </c>
      <c r="E436" s="1" t="s">
        <v>12</v>
      </c>
      <c r="F436" s="1" t="s">
        <v>13</v>
      </c>
      <c r="G436" s="1" t="str">
        <f>IF(H436="","",IFERROR(INDEX(tblOrgs[Client Name],MATCH(H436,tblOrgs[Client ABN],0)),""))</f>
        <v>Slaney Excavations Pty Ltd</v>
      </c>
      <c r="H436" s="1">
        <v>76169837316</v>
      </c>
    </row>
    <row r="437" spans="1:8" x14ac:dyDescent="0.25">
      <c r="A437" s="1" t="s">
        <v>518</v>
      </c>
      <c r="B437" s="1" t="s">
        <v>11</v>
      </c>
      <c r="C437" s="2">
        <v>45769</v>
      </c>
      <c r="D437" s="2">
        <v>45769</v>
      </c>
      <c r="E437" s="1" t="s">
        <v>12</v>
      </c>
      <c r="F437" s="1" t="s">
        <v>62</v>
      </c>
      <c r="G437" s="1" t="str">
        <f>IF(H437="","",IFERROR(INDEX(tblOrgs[Client Name],MATCH(H437,tblOrgs[Client ABN],0)),""))</f>
        <v>Slaney Excavations Pty Ltd</v>
      </c>
      <c r="H437" s="1">
        <v>76169837316</v>
      </c>
    </row>
    <row r="438" spans="1:8" x14ac:dyDescent="0.25">
      <c r="A438" s="1" t="s">
        <v>476</v>
      </c>
      <c r="B438" s="1" t="s">
        <v>11</v>
      </c>
      <c r="C438" s="2">
        <v>45757</v>
      </c>
      <c r="D438" s="2">
        <v>45757</v>
      </c>
      <c r="E438" s="1" t="s">
        <v>12</v>
      </c>
      <c r="F438" s="1" t="s">
        <v>13</v>
      </c>
      <c r="G438" s="1" t="str">
        <f>IF(H438="","",IFERROR(INDEX(tblOrgs[Client Name],MATCH(H438,tblOrgs[Client ABN],0)),""))</f>
        <v>Lewiston Haulage Pty Ltd</v>
      </c>
      <c r="H438" s="1">
        <v>33631206178</v>
      </c>
    </row>
    <row r="439" spans="1:8" x14ac:dyDescent="0.25">
      <c r="A439" s="1" t="s">
        <v>458</v>
      </c>
      <c r="B439" s="1" t="s">
        <v>11</v>
      </c>
      <c r="C439" s="2">
        <v>45747</v>
      </c>
      <c r="D439" s="2">
        <v>45747</v>
      </c>
      <c r="E439" s="1" t="s">
        <v>12</v>
      </c>
      <c r="F439" s="1" t="s">
        <v>13</v>
      </c>
      <c r="G439" s="1" t="str">
        <f>IF(H439="","",IFERROR(INDEX(tblOrgs[Client Name],MATCH(H439,tblOrgs[Client ABN],0)),""))</f>
        <v>Egans Plant Hire Pty Ltd</v>
      </c>
      <c r="H439" s="1">
        <v>50077737396</v>
      </c>
    </row>
    <row r="440" spans="1:8" x14ac:dyDescent="0.25">
      <c r="A440" s="1" t="s">
        <v>490</v>
      </c>
      <c r="B440" s="1" t="s">
        <v>11</v>
      </c>
      <c r="C440" s="2">
        <v>45768</v>
      </c>
      <c r="D440" s="2">
        <v>45768</v>
      </c>
      <c r="E440" s="1" t="s">
        <v>12</v>
      </c>
      <c r="F440" s="1" t="s">
        <v>13</v>
      </c>
      <c r="G440" s="1" t="str">
        <f>IF(H440="","",IFERROR(INDEX(tblOrgs[Client Name],MATCH(H440,tblOrgs[Client ABN],0)),""))</f>
        <v>Outrite Hire &amp; Sales Pty Ltd</v>
      </c>
      <c r="H440" s="1">
        <v>59632942584</v>
      </c>
    </row>
    <row r="441" spans="1:8" x14ac:dyDescent="0.25">
      <c r="A441" s="1" t="s">
        <v>504</v>
      </c>
      <c r="B441" s="1" t="s">
        <v>11</v>
      </c>
      <c r="C441" s="2">
        <v>45759</v>
      </c>
      <c r="D441" s="2">
        <v>45759</v>
      </c>
      <c r="E441" s="1" t="s">
        <v>12</v>
      </c>
      <c r="F441" s="1" t="s">
        <v>13</v>
      </c>
      <c r="G441" s="1" t="str">
        <f>IF(H441="","",IFERROR(INDEX(tblOrgs[Client Name],MATCH(H441,tblOrgs[Client ABN],0)),""))</f>
        <v>T &amp; M Southern Cranes Pty Ltd</v>
      </c>
      <c r="H441" s="1">
        <v>99006697338</v>
      </c>
    </row>
    <row r="442" spans="1:8" x14ac:dyDescent="0.25">
      <c r="A442" s="1" t="s">
        <v>460</v>
      </c>
      <c r="B442" s="1" t="s">
        <v>11</v>
      </c>
      <c r="C442" s="2">
        <v>45770</v>
      </c>
      <c r="D442" s="2">
        <v>45770</v>
      </c>
      <c r="E442" s="1" t="s">
        <v>12</v>
      </c>
      <c r="F442" s="1" t="s">
        <v>13</v>
      </c>
      <c r="G442" s="1" t="str">
        <f>IF(H442="","",IFERROR(INDEX(tblOrgs[Client Name],MATCH(H442,tblOrgs[Client ABN],0)),""))</f>
        <v>ENCO Precast Pty Ltd</v>
      </c>
      <c r="H442" s="1">
        <v>56072772037</v>
      </c>
    </row>
    <row r="443" spans="1:8" x14ac:dyDescent="0.25">
      <c r="A443" s="1" t="s">
        <v>454</v>
      </c>
      <c r="B443" s="1" t="s">
        <v>11</v>
      </c>
      <c r="C443" s="2">
        <v>45770</v>
      </c>
      <c r="D443" s="2">
        <v>45770</v>
      </c>
      <c r="E443" s="1" t="s">
        <v>12</v>
      </c>
      <c r="F443" s="1" t="s">
        <v>13</v>
      </c>
      <c r="G443" s="1" t="str">
        <f>IF(H443="","",IFERROR(INDEX(tblOrgs[Client Name],MATCH(H443,tblOrgs[Client ABN],0)),""))</f>
        <v>Cubis Systems Australia Pty Ltd</v>
      </c>
      <c r="H443" s="1">
        <v>88108718350</v>
      </c>
    </row>
    <row r="444" spans="1:8" x14ac:dyDescent="0.25">
      <c r="A444" s="1" t="s">
        <v>449</v>
      </c>
      <c r="B444" s="1" t="s">
        <v>11</v>
      </c>
      <c r="C444" s="2">
        <v>45767</v>
      </c>
      <c r="D444" s="2">
        <v>45767</v>
      </c>
      <c r="E444" s="1" t="s">
        <v>12</v>
      </c>
      <c r="F444" s="1" t="s">
        <v>13</v>
      </c>
      <c r="G444" s="1" t="str">
        <f>IF(H444="","",IFERROR(INDEX(tblOrgs[Client Name],MATCH(H444,tblOrgs[Client ABN],0)),""))</f>
        <v>Civx Pty Ltd</v>
      </c>
      <c r="H444" s="1">
        <v>53603953019</v>
      </c>
    </row>
    <row r="445" spans="1:8" x14ac:dyDescent="0.25">
      <c r="A445" s="1" t="s">
        <v>484</v>
      </c>
      <c r="B445" s="1" t="s">
        <v>11</v>
      </c>
      <c r="C445" s="2">
        <v>45760</v>
      </c>
      <c r="D445" s="2">
        <v>45760</v>
      </c>
      <c r="E445" s="1" t="s">
        <v>12</v>
      </c>
      <c r="F445" s="1" t="s">
        <v>13</v>
      </c>
      <c r="G445" s="1" t="str">
        <f>IF(H445="","",IFERROR(INDEX(tblOrgs[Client Name],MATCH(H445,tblOrgs[Client ABN],0)),""))</f>
        <v>Matrix Drilling Australia Pty Ltd</v>
      </c>
      <c r="H445" s="1">
        <v>65631934971</v>
      </c>
    </row>
    <row r="446" spans="1:8" x14ac:dyDescent="0.25">
      <c r="A446" s="1" t="s">
        <v>432</v>
      </c>
      <c r="B446" s="1" t="s">
        <v>11</v>
      </c>
      <c r="C446" s="2">
        <v>45799</v>
      </c>
      <c r="D446" s="2">
        <v>45799</v>
      </c>
      <c r="E446" s="1" t="s">
        <v>12</v>
      </c>
      <c r="F446" s="1" t="s">
        <v>13</v>
      </c>
      <c r="G446" s="1" t="str">
        <f>IF(H446="","",IFERROR(INDEX(tblOrgs[Client Name],MATCH(H446,tblOrgs[Client ABN],0)),""))</f>
        <v>A C Whalan &amp; Co Pty Ltd</v>
      </c>
      <c r="H446" s="1">
        <v>90003499849</v>
      </c>
    </row>
    <row r="447" spans="1:8" x14ac:dyDescent="0.25">
      <c r="A447" s="1" t="s">
        <v>442</v>
      </c>
      <c r="B447" s="1" t="s">
        <v>11</v>
      </c>
      <c r="C447" s="2">
        <v>45786</v>
      </c>
      <c r="D447" s="2">
        <v>45786</v>
      </c>
      <c r="E447" s="1" t="s">
        <v>12</v>
      </c>
      <c r="F447" s="1" t="s">
        <v>13</v>
      </c>
      <c r="G447" s="1" t="str">
        <f>IF(H447="","",IFERROR(INDEX(tblOrgs[Client Name],MATCH(H447,tblOrgs[Client ABN],0)),""))</f>
        <v>Baren Projects Pty Ltd</v>
      </c>
      <c r="H447" s="1">
        <v>60661051565</v>
      </c>
    </row>
    <row r="448" spans="1:8" x14ac:dyDescent="0.25">
      <c r="A448" s="1" t="s">
        <v>515</v>
      </c>
      <c r="B448" s="1" t="s">
        <v>11</v>
      </c>
      <c r="C448" s="2">
        <v>45787</v>
      </c>
      <c r="D448" s="2">
        <v>45787</v>
      </c>
      <c r="E448" s="1" t="s">
        <v>12</v>
      </c>
      <c r="F448" s="1" t="s">
        <v>13</v>
      </c>
      <c r="G448" s="1" t="str">
        <f>IF(H448="","",IFERROR(INDEX(tblOrgs[Client Name],MATCH(H448,tblOrgs[Client ABN],0)),""))</f>
        <v>Westkon Precast Pty Ltd</v>
      </c>
      <c r="H448" s="1">
        <v>92107423156</v>
      </c>
    </row>
    <row r="449" spans="1:8" x14ac:dyDescent="0.25">
      <c r="A449" s="1" t="s">
        <v>446</v>
      </c>
      <c r="B449" s="1" t="s">
        <v>11</v>
      </c>
      <c r="C449" s="2">
        <v>45790</v>
      </c>
      <c r="D449" s="2">
        <v>45790</v>
      </c>
      <c r="E449" s="1" t="s">
        <v>12</v>
      </c>
      <c r="F449" s="1" t="s">
        <v>13</v>
      </c>
      <c r="G449" s="1" t="str">
        <f>IF(H449="","",IFERROR(INDEX(tblOrgs[Client Name],MATCH(H449,tblOrgs[Client ABN],0)),""))</f>
        <v>Bryco Civil Construction Pty Ltd</v>
      </c>
      <c r="H449" s="1">
        <v>67642143324</v>
      </c>
    </row>
    <row r="450" spans="1:8" x14ac:dyDescent="0.25">
      <c r="A450" s="1" t="s">
        <v>495</v>
      </c>
      <c r="B450" s="1" t="s">
        <v>11</v>
      </c>
      <c r="C450" s="2">
        <v>45783</v>
      </c>
      <c r="D450" s="2">
        <v>45783</v>
      </c>
      <c r="E450" s="1" t="s">
        <v>12</v>
      </c>
      <c r="F450" s="1" t="s">
        <v>13</v>
      </c>
      <c r="G450" s="1" t="str">
        <f>IF(H450="","",IFERROR(INDEX(tblOrgs[Client Name],MATCH(H450,tblOrgs[Client ABN],0)),""))</f>
        <v>Rapidcrete Pty Ltd</v>
      </c>
      <c r="H450" s="1">
        <v>53104620322</v>
      </c>
    </row>
    <row r="451" spans="1:8" x14ac:dyDescent="0.25">
      <c r="A451" s="1" t="s">
        <v>489</v>
      </c>
      <c r="B451" s="1" t="s">
        <v>11</v>
      </c>
      <c r="C451" s="2">
        <v>45812</v>
      </c>
      <c r="D451" s="2">
        <v>45812</v>
      </c>
      <c r="E451" s="1" t="s">
        <v>12</v>
      </c>
      <c r="F451" s="1" t="s">
        <v>13</v>
      </c>
      <c r="G451" s="1" t="str">
        <f>IF(H451="","",IFERROR(INDEX(tblOrgs[Client Name],MATCH(H451,tblOrgs[Client ABN],0)),""))</f>
        <v>Norcon Slipforming Pty Ltd</v>
      </c>
      <c r="H451" s="1">
        <v>41638942131</v>
      </c>
    </row>
    <row r="452" spans="1:8" x14ac:dyDescent="0.25">
      <c r="A452" s="1" t="s">
        <v>470</v>
      </c>
      <c r="B452" s="1" t="s">
        <v>11</v>
      </c>
      <c r="C452" s="2">
        <v>45962</v>
      </c>
      <c r="D452" s="2">
        <v>45962</v>
      </c>
      <c r="E452" s="1" t="s">
        <v>12</v>
      </c>
      <c r="F452" s="1" t="s">
        <v>13</v>
      </c>
      <c r="G452" s="1" t="str">
        <f>IF(H452="","",IFERROR(INDEX(tblOrgs[Client Name],MATCH(H452,tblOrgs[Client ABN],0)),""))</f>
        <v>Holcim (Australia) Pty Ltd</v>
      </c>
      <c r="H452" s="1">
        <v>87099732297</v>
      </c>
    </row>
    <row r="453" spans="1:8" x14ac:dyDescent="0.25">
      <c r="A453" s="1" t="s">
        <v>471</v>
      </c>
      <c r="B453" s="1" t="s">
        <v>11</v>
      </c>
      <c r="C453" s="2">
        <v>45813</v>
      </c>
      <c r="D453" s="2">
        <v>45813</v>
      </c>
      <c r="E453" s="1" t="s">
        <v>12</v>
      </c>
      <c r="F453" s="1" t="s">
        <v>13</v>
      </c>
      <c r="G453" s="1" t="str">
        <f>IF(H453="","",IFERROR(INDEX(tblOrgs[Client Name],MATCH(H453,tblOrgs[Client ABN],0)),""))</f>
        <v>Image Linemarking Pty Ltd</v>
      </c>
      <c r="H453" s="1">
        <v>15082074708</v>
      </c>
    </row>
    <row r="454" spans="1:8" x14ac:dyDescent="0.25">
      <c r="A454" s="1" t="s">
        <v>448</v>
      </c>
      <c r="B454" s="1" t="s">
        <v>11</v>
      </c>
      <c r="C454" s="2">
        <v>45817</v>
      </c>
      <c r="D454" s="2">
        <v>45817</v>
      </c>
      <c r="E454" s="1" t="s">
        <v>12</v>
      </c>
      <c r="F454" s="1" t="s">
        <v>13</v>
      </c>
      <c r="G454" s="1" t="str">
        <f>IF(H454="","",IFERROR(INDEX(tblOrgs[Client Name],MATCH(H454,tblOrgs[Client ABN],0)),""))</f>
        <v>Cirtex Industries Pty Ltd</v>
      </c>
      <c r="H454" s="1">
        <v>46650016872</v>
      </c>
    </row>
    <row r="455" spans="1:8" x14ac:dyDescent="0.25">
      <c r="A455" s="1" t="s">
        <v>478</v>
      </c>
      <c r="B455" s="1" t="s">
        <v>11</v>
      </c>
      <c r="C455" s="2">
        <v>45819</v>
      </c>
      <c r="D455" s="2">
        <v>45819</v>
      </c>
      <c r="E455" s="1" t="s">
        <v>12</v>
      </c>
      <c r="F455" s="1" t="s">
        <v>13</v>
      </c>
      <c r="G455" s="1" t="str">
        <f>IF(H455="","",IFERROR(INDEX(tblOrgs[Client Name],MATCH(H455,tblOrgs[Client ABN],0)),""))</f>
        <v>Lift Logistics &amp; Transport Pty Ltd</v>
      </c>
      <c r="H455" s="1">
        <v>46767068752</v>
      </c>
    </row>
    <row r="456" spans="1:8" x14ac:dyDescent="0.25">
      <c r="A456" s="1" t="s">
        <v>479</v>
      </c>
      <c r="B456" s="1" t="s">
        <v>11</v>
      </c>
      <c r="C456" s="2">
        <v>45832</v>
      </c>
      <c r="D456" s="2">
        <v>45832</v>
      </c>
      <c r="E456" s="1" t="s">
        <v>12</v>
      </c>
      <c r="F456" s="1" t="s">
        <v>13</v>
      </c>
      <c r="G456" s="1" t="str">
        <f>IF(H456="","",IFERROR(INDEX(tblOrgs[Client Name],MATCH(H456,tblOrgs[Client ABN],0)),""))</f>
        <v>Loader Vac Solutions</v>
      </c>
      <c r="H456" s="1">
        <v>91134733808</v>
      </c>
    </row>
    <row r="457" spans="1:8" x14ac:dyDescent="0.25">
      <c r="A457" s="1" t="s">
        <v>488</v>
      </c>
      <c r="B457" s="1" t="s">
        <v>11</v>
      </c>
      <c r="C457" s="2">
        <v>45825</v>
      </c>
      <c r="D457" s="2">
        <v>45825</v>
      </c>
      <c r="E457" s="1" t="s">
        <v>12</v>
      </c>
      <c r="F457" s="1" t="s">
        <v>13</v>
      </c>
      <c r="G457" s="1" t="str">
        <f>IF(H457="","",IFERROR(INDEX(tblOrgs[Client Name],MATCH(H457,tblOrgs[Client ABN],0)),""))</f>
        <v>Nasi Pty Ltd</v>
      </c>
      <c r="H457" s="1">
        <v>41609980726</v>
      </c>
    </row>
    <row r="458" spans="1:8" x14ac:dyDescent="0.25">
      <c r="A458" s="1" t="s">
        <v>466</v>
      </c>
      <c r="B458" s="1" t="s">
        <v>11</v>
      </c>
      <c r="C458" s="2">
        <v>45852</v>
      </c>
      <c r="D458" s="2">
        <v>45852</v>
      </c>
      <c r="E458" s="1" t="s">
        <v>12</v>
      </c>
      <c r="F458" s="1" t="s">
        <v>13</v>
      </c>
      <c r="G458" s="1" t="str">
        <f>IF(H458="","",IFERROR(INDEX(tblOrgs[Client Name],MATCH(H458,tblOrgs[Client ABN],0)),""))</f>
        <v>GVP Fabricators Pty Ltd</v>
      </c>
      <c r="H458" s="1">
        <v>59082132394</v>
      </c>
    </row>
    <row r="459" spans="1:8" x14ac:dyDescent="0.25">
      <c r="A459" s="1" t="s">
        <v>492</v>
      </c>
      <c r="B459" s="1" t="s">
        <v>11</v>
      </c>
      <c r="C459" s="2">
        <v>45843</v>
      </c>
      <c r="D459" s="2">
        <v>45843</v>
      </c>
      <c r="E459" s="1" t="s">
        <v>12</v>
      </c>
      <c r="F459" s="1" t="s">
        <v>13</v>
      </c>
      <c r="G459" s="1" t="str">
        <f>IF(H459="","",IFERROR(INDEX(tblOrgs[Client Name],MATCH(H459,tblOrgs[Client ABN],0)),""))</f>
        <v>Pressure Works Pty Ltd</v>
      </c>
      <c r="H459" s="1">
        <v>94365883835</v>
      </c>
    </row>
    <row r="460" spans="1:8" x14ac:dyDescent="0.25">
      <c r="A460" s="1" t="s">
        <v>438</v>
      </c>
      <c r="B460" s="1" t="s">
        <v>11</v>
      </c>
      <c r="C460" s="2">
        <v>45860</v>
      </c>
      <c r="D460" s="2">
        <v>45860</v>
      </c>
      <c r="E460" s="1" t="s">
        <v>12</v>
      </c>
      <c r="F460" s="1" t="s">
        <v>13</v>
      </c>
      <c r="G460" s="1" t="str">
        <f>IF(H460="","",IFERROR(INDEX(tblOrgs[Client Name],MATCH(H460,tblOrgs[Client ABN],0)),""))</f>
        <v>Ash (Vic) Pty Ltd</v>
      </c>
      <c r="H460" s="1">
        <v>29115372613</v>
      </c>
    </row>
    <row r="461" spans="1:8" x14ac:dyDescent="0.25">
      <c r="A461" s="1" t="s">
        <v>445</v>
      </c>
      <c r="B461" s="1" t="s">
        <v>11</v>
      </c>
      <c r="C461" s="2">
        <v>45851</v>
      </c>
      <c r="D461" s="2">
        <v>45851</v>
      </c>
      <c r="E461" s="1" t="s">
        <v>12</v>
      </c>
      <c r="F461" s="1" t="s">
        <v>13</v>
      </c>
      <c r="G461" s="1" t="str">
        <f>IF(H461="","",IFERROR(INDEX(tblOrgs[Client Name],MATCH(H461,tblOrgs[Client ABN],0)),""))</f>
        <v>Brent Young Cranes Pty Ltd</v>
      </c>
      <c r="H461" s="1">
        <v>74795954655</v>
      </c>
    </row>
    <row r="462" spans="1:8" x14ac:dyDescent="0.25">
      <c r="A462" s="1" t="s">
        <v>482</v>
      </c>
      <c r="B462" s="1" t="s">
        <v>11</v>
      </c>
      <c r="C462" s="2">
        <v>45848</v>
      </c>
      <c r="D462" s="2">
        <v>45848</v>
      </c>
      <c r="E462" s="1" t="s">
        <v>12</v>
      </c>
      <c r="F462" s="1" t="s">
        <v>13</v>
      </c>
      <c r="G462" s="1" t="str">
        <f>IF(H462="","",IFERROR(INDEX(tblOrgs[Client Name],MATCH(H462,tblOrgs[Client ABN],0)),""))</f>
        <v>Maas Group Holdings</v>
      </c>
      <c r="H462" s="1">
        <v>84632994542</v>
      </c>
    </row>
    <row r="463" spans="1:8" x14ac:dyDescent="0.25">
      <c r="A463" s="1" t="s">
        <v>436</v>
      </c>
      <c r="B463" s="1" t="s">
        <v>11</v>
      </c>
      <c r="C463" s="2">
        <v>45862</v>
      </c>
      <c r="D463" s="2">
        <v>45862</v>
      </c>
      <c r="E463" s="1" t="s">
        <v>12</v>
      </c>
      <c r="F463" s="1" t="s">
        <v>13</v>
      </c>
      <c r="G463" s="1" t="str">
        <f>IF(H463="","",IFERROR(INDEX(tblOrgs[Client Name],MATCH(H463,tblOrgs[Client ABN],0)),""))</f>
        <v>Arcadia Global Pty Ltd</v>
      </c>
      <c r="H463" s="1">
        <v>62008668291</v>
      </c>
    </row>
    <row r="464" spans="1:8" x14ac:dyDescent="0.25">
      <c r="A464" s="1" t="s">
        <v>437</v>
      </c>
      <c r="B464" s="1" t="s">
        <v>11</v>
      </c>
      <c r="C464" s="2">
        <v>45862</v>
      </c>
      <c r="D464" s="2">
        <v>45862</v>
      </c>
      <c r="E464" s="1" t="s">
        <v>12</v>
      </c>
      <c r="F464" s="1" t="s">
        <v>13</v>
      </c>
      <c r="G464" s="1" t="str">
        <f>IF(H464="","",IFERROR(INDEX(tblOrgs[Client Name],MATCH(H464,tblOrgs[Client ABN],0)),""))</f>
        <v>As you like it Landscaping Pty Ltd</v>
      </c>
      <c r="H464" s="1">
        <v>51064081956</v>
      </c>
    </row>
    <row r="465" spans="1:8" x14ac:dyDescent="0.25">
      <c r="A465" s="1" t="s">
        <v>509</v>
      </c>
      <c r="B465" s="1" t="s">
        <v>11</v>
      </c>
      <c r="C465" s="2">
        <v>45425</v>
      </c>
      <c r="D465" s="2">
        <v>45425</v>
      </c>
      <c r="E465" s="1" t="s">
        <v>12</v>
      </c>
      <c r="F465" s="1" t="s">
        <v>13</v>
      </c>
      <c r="G465" s="1" t="str">
        <f>IF(H465="","",IFERROR(INDEX(tblOrgs[Client Name],MATCH(H465,tblOrgs[Client ABN],0)),""))</f>
        <v>Tutt Bryant Group Limited</v>
      </c>
      <c r="H465" s="1">
        <v>89009242675</v>
      </c>
    </row>
    <row r="466" spans="1:8" x14ac:dyDescent="0.25">
      <c r="A466" s="1" t="s">
        <v>434</v>
      </c>
      <c r="B466" s="1" t="s">
        <v>11</v>
      </c>
      <c r="C466" s="2">
        <v>45856</v>
      </c>
      <c r="D466" s="2">
        <v>45856</v>
      </c>
      <c r="E466" s="1" t="s">
        <v>12</v>
      </c>
      <c r="F466" s="1" t="s">
        <v>13</v>
      </c>
      <c r="G466" s="1" t="str">
        <f>IF(H466="","",IFERROR(INDEX(tblOrgs[Client Name],MATCH(H466,tblOrgs[Client ABN],0)),""))</f>
        <v>Allmark Linemarking Services Pty Ltd</v>
      </c>
      <c r="H466" s="1">
        <v>12055966802</v>
      </c>
    </row>
    <row r="467" spans="1:8" x14ac:dyDescent="0.25">
      <c r="A467" s="1" t="s">
        <v>499</v>
      </c>
      <c r="B467" s="1" t="s">
        <v>11</v>
      </c>
      <c r="C467" s="2">
        <v>45856</v>
      </c>
      <c r="D467" s="2">
        <v>45856</v>
      </c>
      <c r="E467" s="1" t="s">
        <v>12</v>
      </c>
      <c r="F467" s="1" t="s">
        <v>13</v>
      </c>
      <c r="G467" s="1" t="str">
        <f>IF(H467="","",IFERROR(INDEX(tblOrgs[Client Name],MATCH(H467,tblOrgs[Client ABN],0)),""))</f>
        <v>Shadbolt Group Pty Ltd</v>
      </c>
      <c r="H467" s="1">
        <v>37603737935</v>
      </c>
    </row>
    <row r="468" spans="1:8" x14ac:dyDescent="0.25">
      <c r="A468" s="1" t="s">
        <v>493</v>
      </c>
      <c r="B468" s="1" t="s">
        <v>11</v>
      </c>
      <c r="C468" s="2">
        <v>45862</v>
      </c>
      <c r="D468" s="2">
        <v>45862</v>
      </c>
      <c r="E468" s="1" t="s">
        <v>12</v>
      </c>
      <c r="F468" s="1" t="s">
        <v>13</v>
      </c>
      <c r="G468" s="1" t="str">
        <f>IF(H468="","",IFERROR(INDEX(tblOrgs[Client Name],MATCH(H468,tblOrgs[Client ABN],0)),""))</f>
        <v>RA Smith Contracting Pty Ltd</v>
      </c>
      <c r="H468" s="1">
        <v>65006694702</v>
      </c>
    </row>
    <row r="469" spans="1:8" x14ac:dyDescent="0.25">
      <c r="A469" s="1" t="s">
        <v>435</v>
      </c>
      <c r="B469" s="1" t="s">
        <v>11</v>
      </c>
      <c r="C469" s="2">
        <v>45861</v>
      </c>
      <c r="D469" s="2">
        <v>45861</v>
      </c>
      <c r="E469" s="1" t="s">
        <v>12</v>
      </c>
      <c r="F469" s="1" t="s">
        <v>13</v>
      </c>
      <c r="G469" s="1" t="str">
        <f>IF(H469="","",IFERROR(INDEX(tblOrgs[Client Name],MATCH(H469,tblOrgs[Client ABN],0)),""))</f>
        <v>Altitude Construction Group Pty Limited</v>
      </c>
      <c r="H469" s="1">
        <v>38117317085</v>
      </c>
    </row>
    <row r="470" spans="1:8" x14ac:dyDescent="0.25">
      <c r="A470" s="1" t="s">
        <v>520</v>
      </c>
      <c r="B470" s="1" t="s">
        <v>11</v>
      </c>
      <c r="C470" s="2">
        <v>45861</v>
      </c>
      <c r="D470" s="2">
        <v>45861</v>
      </c>
      <c r="E470" s="1" t="s">
        <v>12</v>
      </c>
      <c r="F470" s="1" t="s">
        <v>321</v>
      </c>
      <c r="G470" s="1" t="str">
        <f>IF(H470="","",IFERROR(INDEX(tblOrgs[Client Name],MATCH(H470,tblOrgs[Client ABN],0)),""))</f>
        <v>Altitude Construction Group Pty Limited</v>
      </c>
      <c r="H470" s="1">
        <v>38117317085</v>
      </c>
    </row>
    <row r="471" spans="1:8" x14ac:dyDescent="0.25">
      <c r="A471" s="1" t="s">
        <v>480</v>
      </c>
      <c r="B471" s="1" t="s">
        <v>11</v>
      </c>
      <c r="C471" s="2">
        <v>45870</v>
      </c>
      <c r="D471" s="2">
        <v>45870</v>
      </c>
      <c r="E471" s="1" t="s">
        <v>12</v>
      </c>
      <c r="F471" s="1" t="s">
        <v>13</v>
      </c>
      <c r="G471" s="1" t="str">
        <f>IF(H471="","",IFERROR(INDEX(tblOrgs[Client Name],MATCH(H471,tblOrgs[Client ABN],0)),""))</f>
        <v>M &amp; L Walford Pty Ltd</v>
      </c>
      <c r="H471" s="1">
        <v>81137960582</v>
      </c>
    </row>
    <row r="472" spans="1:8" x14ac:dyDescent="0.25">
      <c r="A472" s="1" t="s">
        <v>467</v>
      </c>
      <c r="B472" s="1" t="s">
        <v>11</v>
      </c>
      <c r="C472" s="2">
        <v>45882</v>
      </c>
      <c r="D472" s="2">
        <v>45882</v>
      </c>
      <c r="E472" s="1" t="s">
        <v>12</v>
      </c>
      <c r="F472" s="1" t="s">
        <v>13</v>
      </c>
      <c r="G472" s="1" t="str">
        <f>IF(H472="","",IFERROR(INDEX(tblOrgs[Client Name],MATCH(H472,tblOrgs[Client ABN],0)),""))</f>
        <v>Hi-Haul Transport Pty Ltd</v>
      </c>
      <c r="H472" s="1">
        <v>25005099632</v>
      </c>
    </row>
    <row r="473" spans="1:8" x14ac:dyDescent="0.25">
      <c r="A473" s="1" t="s">
        <v>78</v>
      </c>
      <c r="B473" s="1" t="s">
        <v>11</v>
      </c>
      <c r="C473" s="2">
        <v>44278</v>
      </c>
      <c r="D473" s="2">
        <v>44278</v>
      </c>
      <c r="E473" s="1" t="s">
        <v>12</v>
      </c>
      <c r="F473" s="1" t="s">
        <v>13</v>
      </c>
      <c r="G473" s="1" t="str">
        <f>IF(H473="","",IFERROR(INDEX(tblOrgs[Client Name],MATCH(H473,tblOrgs[Client ABN],0)),""))</f>
        <v>Calbah Industries Pty Ltd</v>
      </c>
      <c r="H473" s="1">
        <v>58050275020</v>
      </c>
    </row>
    <row r="474" spans="1:8" x14ac:dyDescent="0.25">
      <c r="A474" s="1" t="s">
        <v>455</v>
      </c>
      <c r="B474" s="1" t="s">
        <v>11</v>
      </c>
      <c r="C474" s="2">
        <v>45920</v>
      </c>
      <c r="D474" s="2">
        <v>45920</v>
      </c>
      <c r="E474" s="1" t="s">
        <v>12</v>
      </c>
      <c r="F474" s="1" t="s">
        <v>13</v>
      </c>
      <c r="G474" s="1" t="str">
        <f>IF(H474="","",IFERROR(INDEX(tblOrgs[Client Name],MATCH(H474,tblOrgs[Client ABN],0)),""))</f>
        <v>Delta Machine Kerbing Pty Ltd</v>
      </c>
      <c r="H474" s="1">
        <v>28068134672</v>
      </c>
    </row>
    <row r="475" spans="1:8" x14ac:dyDescent="0.25">
      <c r="A475" s="1" t="s">
        <v>462</v>
      </c>
      <c r="B475" s="1" t="s">
        <v>11</v>
      </c>
      <c r="C475" s="2">
        <v>45902</v>
      </c>
      <c r="D475" s="2">
        <v>45902</v>
      </c>
      <c r="E475" s="1" t="s">
        <v>12</v>
      </c>
      <c r="F475" s="1" t="s">
        <v>13</v>
      </c>
      <c r="G475" s="1" t="str">
        <f>IF(H475="","",IFERROR(INDEX(tblOrgs[Client Name],MATCH(H475,tblOrgs[Client ABN],0)),""))</f>
        <v>F and Sons Transport Pty Ltd</v>
      </c>
      <c r="H475" s="1">
        <v>48109484004</v>
      </c>
    </row>
    <row r="476" spans="1:8" x14ac:dyDescent="0.25">
      <c r="A476" s="1" t="s">
        <v>512</v>
      </c>
      <c r="B476" s="1" t="s">
        <v>11</v>
      </c>
      <c r="C476" s="2">
        <v>45914</v>
      </c>
      <c r="D476" s="2">
        <v>45914</v>
      </c>
      <c r="E476" s="1" t="s">
        <v>12</v>
      </c>
      <c r="F476" s="1" t="s">
        <v>13</v>
      </c>
      <c r="G476" s="1" t="str">
        <f>IF(H476="","",IFERROR(INDEX(tblOrgs[Client Name],MATCH(H476,tblOrgs[Client ABN],0)),""))</f>
        <v>Victorian Crane Hire Pty Ltd</v>
      </c>
      <c r="H476" s="1">
        <v>15619105092</v>
      </c>
    </row>
    <row r="477" spans="1:8" x14ac:dyDescent="0.25">
      <c r="A477" s="1" t="s">
        <v>468</v>
      </c>
      <c r="B477" s="1" t="s">
        <v>11</v>
      </c>
      <c r="C477" s="2">
        <v>45880</v>
      </c>
      <c r="D477" s="2">
        <v>45880</v>
      </c>
      <c r="E477" s="1" t="s">
        <v>12</v>
      </c>
      <c r="F477" s="1" t="s">
        <v>13</v>
      </c>
      <c r="G477" s="1" t="str">
        <f>IF(H477="","",IFERROR(INDEX(tblOrgs[Client Name],MATCH(H477,tblOrgs[Client ABN],0)),""))</f>
        <v>HL Landscapes Pty Ltd</v>
      </c>
      <c r="H477" s="1">
        <v>92119886734</v>
      </c>
    </row>
    <row r="478" spans="1:8" x14ac:dyDescent="0.25">
      <c r="A478" s="1" t="s">
        <v>457</v>
      </c>
      <c r="B478" s="1" t="s">
        <v>11</v>
      </c>
      <c r="C478" s="2">
        <v>45883</v>
      </c>
      <c r="D478" s="2">
        <v>45883</v>
      </c>
      <c r="E478" s="1" t="s">
        <v>12</v>
      </c>
      <c r="F478" s="1" t="s">
        <v>13</v>
      </c>
      <c r="G478" s="1" t="str">
        <f>IF(H478="","",IFERROR(INDEX(tblOrgs[Client Name],MATCH(H478,tblOrgs[Client ABN],0)),""))</f>
        <v>Earthtek Excavations Pty Ltd</v>
      </c>
      <c r="H478" s="1">
        <v>54090536575</v>
      </c>
    </row>
    <row r="479" spans="1:8" x14ac:dyDescent="0.25">
      <c r="A479" s="1" t="s">
        <v>517</v>
      </c>
      <c r="B479" s="1" t="s">
        <v>11</v>
      </c>
      <c r="C479" s="2">
        <v>45883</v>
      </c>
      <c r="D479" s="2">
        <v>45883</v>
      </c>
      <c r="E479" s="1" t="s">
        <v>12</v>
      </c>
      <c r="F479" s="1" t="s">
        <v>62</v>
      </c>
      <c r="G479" s="1" t="str">
        <f>IF(H479="","",IFERROR(INDEX(tblOrgs[Client Name],MATCH(H479,tblOrgs[Client ABN],0)),""))</f>
        <v>Earthtek Excavations Pty Ltd</v>
      </c>
      <c r="H479" s="1">
        <v>54090536575</v>
      </c>
    </row>
    <row r="480" spans="1:8" x14ac:dyDescent="0.25">
      <c r="A480" s="1" t="s">
        <v>474</v>
      </c>
      <c r="B480" s="1" t="s">
        <v>11</v>
      </c>
      <c r="C480" s="2">
        <v>45952</v>
      </c>
      <c r="D480" s="2">
        <v>45952</v>
      </c>
      <c r="E480" s="1" t="s">
        <v>12</v>
      </c>
      <c r="F480" s="1" t="s">
        <v>13</v>
      </c>
      <c r="G480" s="1" t="str">
        <f>IF(H480="","",IFERROR(INDEX(tblOrgs[Client Name],MATCH(H480,tblOrgs[Client ABN],0)),""))</f>
        <v>Kenny Constructions (Aust.) Pty. Limited</v>
      </c>
      <c r="H480" s="1">
        <v>74096169416</v>
      </c>
    </row>
    <row r="481" spans="1:8" x14ac:dyDescent="0.25">
      <c r="A481" s="1" t="s">
        <v>473</v>
      </c>
      <c r="B481" s="1" t="s">
        <v>11</v>
      </c>
      <c r="C481" s="2">
        <v>45952</v>
      </c>
      <c r="D481" s="2">
        <v>45952</v>
      </c>
      <c r="E481" s="1" t="s">
        <v>12</v>
      </c>
      <c r="F481" s="1" t="s">
        <v>13</v>
      </c>
      <c r="G481" s="1" t="str">
        <f>IF(H481="","",IFERROR(INDEX(tblOrgs[Client Name],MATCH(H481,tblOrgs[Client ABN],0)),""))</f>
        <v>Kenny Constructions (Aust.) Pty. Limited</v>
      </c>
      <c r="H481" s="1">
        <v>74096169416</v>
      </c>
    </row>
    <row r="482" spans="1:8" x14ac:dyDescent="0.25">
      <c r="A482" s="1" t="s">
        <v>456</v>
      </c>
      <c r="B482" s="1" t="s">
        <v>11</v>
      </c>
      <c r="C482" s="2">
        <v>45899</v>
      </c>
      <c r="D482" s="2">
        <v>45899</v>
      </c>
      <c r="E482" s="1" t="s">
        <v>12</v>
      </c>
      <c r="F482" s="1" t="s">
        <v>13</v>
      </c>
      <c r="G482" s="1" t="str">
        <f>IF(H482="","",IFERROR(INDEX(tblOrgs[Client Name],MATCH(H482,tblOrgs[Client ABN],0)),""))</f>
        <v>Durkin Construction Pty Ltd</v>
      </c>
      <c r="H482" s="1">
        <v>73615246118</v>
      </c>
    </row>
    <row r="483" spans="1:8" x14ac:dyDescent="0.25">
      <c r="A483" s="1" t="s">
        <v>443</v>
      </c>
      <c r="B483" s="1" t="s">
        <v>11</v>
      </c>
      <c r="C483" s="2">
        <v>45884</v>
      </c>
      <c r="D483" s="2">
        <v>45884</v>
      </c>
      <c r="E483" s="1" t="s">
        <v>12</v>
      </c>
      <c r="F483" s="1" t="s">
        <v>13</v>
      </c>
      <c r="G483" s="1" t="str">
        <f>IF(H483="","",IFERROR(INDEX(tblOrgs[Client Name],MATCH(H483,tblOrgs[Client ABN],0)),""))</f>
        <v>Barlina Pty Ltd</v>
      </c>
      <c r="H483" s="1">
        <v>40078243526</v>
      </c>
    </row>
    <row r="484" spans="1:8" x14ac:dyDescent="0.25">
      <c r="A484" s="1" t="s">
        <v>496</v>
      </c>
      <c r="B484" s="1" t="s">
        <v>11</v>
      </c>
      <c r="C484" s="2">
        <v>45896</v>
      </c>
      <c r="D484" s="2">
        <v>45896</v>
      </c>
      <c r="E484" s="1" t="s">
        <v>12</v>
      </c>
      <c r="F484" s="1" t="s">
        <v>13</v>
      </c>
      <c r="G484" s="1" t="str">
        <f>IF(H484="","",IFERROR(INDEX(tblOrgs[Client Name],MATCH(H484,tblOrgs[Client ABN],0)),""))</f>
        <v>RB &amp; SCW Enterprises Pty Ltd</v>
      </c>
      <c r="H484" s="1">
        <v>84612885471</v>
      </c>
    </row>
    <row r="485" spans="1:8" x14ac:dyDescent="0.25">
      <c r="A485" s="1" t="s">
        <v>356</v>
      </c>
      <c r="B485" s="1" t="s">
        <v>11</v>
      </c>
      <c r="C485" s="2">
        <v>45505</v>
      </c>
      <c r="D485" s="2">
        <v>45505</v>
      </c>
      <c r="E485" s="1" t="s">
        <v>12</v>
      </c>
      <c r="F485" s="1" t="s">
        <v>13</v>
      </c>
      <c r="G485" s="1" t="str">
        <f>IF(H485="","",IFERROR(INDEX(tblOrgs[Client Name],MATCH(H485,tblOrgs[Client ABN],0)),""))</f>
        <v>Euro Civil Pty Ltd</v>
      </c>
      <c r="H485" s="1">
        <v>85057330748</v>
      </c>
    </row>
    <row r="486" spans="1:8" x14ac:dyDescent="0.25">
      <c r="A486" s="1" t="s">
        <v>481</v>
      </c>
      <c r="B486" s="1" t="s">
        <v>11</v>
      </c>
      <c r="C486" s="2">
        <v>45908</v>
      </c>
      <c r="D486" s="2">
        <v>45908</v>
      </c>
      <c r="E486" s="1" t="s">
        <v>12</v>
      </c>
      <c r="F486" s="1" t="s">
        <v>13</v>
      </c>
      <c r="G486" s="1" t="str">
        <f>IF(H486="","",IFERROR(INDEX(tblOrgs[Client Name],MATCH(H486,tblOrgs[Client ABN],0)),""))</f>
        <v>M.E. &amp; A.J. Forrest &amp; Son Pty Ltd</v>
      </c>
      <c r="H486" s="1">
        <v>97063538205</v>
      </c>
    </row>
    <row r="487" spans="1:8" x14ac:dyDescent="0.25">
      <c r="A487" s="1" t="s">
        <v>502</v>
      </c>
      <c r="B487" s="1" t="s">
        <v>11</v>
      </c>
      <c r="C487" s="2">
        <v>45919</v>
      </c>
      <c r="D487" s="2">
        <v>45919</v>
      </c>
      <c r="E487" s="1" t="s">
        <v>12</v>
      </c>
      <c r="F487" s="1" t="s">
        <v>13</v>
      </c>
      <c r="G487" s="1" t="str">
        <f>IF(H487="","",IFERROR(INDEX(tblOrgs[Client Name],MATCH(H487,tblOrgs[Client ABN],0)),""))</f>
        <v>Speno Rail Maintenance Australia Pty Ltd</v>
      </c>
      <c r="H487" s="1">
        <v>30009206722</v>
      </c>
    </row>
    <row r="488" spans="1:8" x14ac:dyDescent="0.25">
      <c r="A488" s="1" t="s">
        <v>500</v>
      </c>
      <c r="B488" s="1" t="s">
        <v>11</v>
      </c>
      <c r="C488" s="2">
        <v>45901</v>
      </c>
      <c r="D488" s="2">
        <v>45901</v>
      </c>
      <c r="E488" s="1" t="s">
        <v>12</v>
      </c>
      <c r="F488" s="1" t="s">
        <v>13</v>
      </c>
      <c r="G488" s="1" t="str">
        <f>IF(H488="","",IFERROR(INDEX(tblOrgs[Client Name],MATCH(H488,tblOrgs[Client ABN],0)),""))</f>
        <v>Skeffmac Pty Ltd</v>
      </c>
      <c r="H488" s="1">
        <v>26639030774</v>
      </c>
    </row>
    <row r="489" spans="1:8" x14ac:dyDescent="0.25">
      <c r="A489" s="1" t="s">
        <v>439</v>
      </c>
      <c r="B489" s="1" t="s">
        <v>11</v>
      </c>
      <c r="C489" s="2">
        <v>45915</v>
      </c>
      <c r="D489" s="2">
        <v>45915</v>
      </c>
      <c r="E489" s="1" t="s">
        <v>12</v>
      </c>
      <c r="F489" s="1" t="s">
        <v>13</v>
      </c>
      <c r="G489" s="1" t="str">
        <f>IF(H489="","",IFERROR(INDEX(tblOrgs[Client Name],MATCH(H489,tblOrgs[Client ABN],0)),""))</f>
        <v>Astern Group Pty Ltd</v>
      </c>
      <c r="H489" s="1">
        <v>68609740105</v>
      </c>
    </row>
    <row r="490" spans="1:8" x14ac:dyDescent="0.25">
      <c r="A490" s="1" t="s">
        <v>491</v>
      </c>
      <c r="B490" s="1" t="s">
        <v>11</v>
      </c>
      <c r="C490" s="2">
        <v>45900</v>
      </c>
      <c r="D490" s="2">
        <v>45900</v>
      </c>
      <c r="E490" s="1" t="s">
        <v>12</v>
      </c>
      <c r="F490" s="1" t="s">
        <v>13</v>
      </c>
      <c r="G490" s="1" t="str">
        <f>IF(H490="","",IFERROR(INDEX(tblOrgs[Client Name],MATCH(H490,tblOrgs[Client ABN],0)),""))</f>
        <v>Patriot Tankers Pty Ltd</v>
      </c>
      <c r="H490" s="1">
        <v>58133136400</v>
      </c>
    </row>
    <row r="491" spans="1:8" x14ac:dyDescent="0.25">
      <c r="A491" s="1" t="s">
        <v>451</v>
      </c>
      <c r="B491" s="1" t="s">
        <v>11</v>
      </c>
      <c r="C491" s="2">
        <v>45908</v>
      </c>
      <c r="D491" s="2">
        <v>45908</v>
      </c>
      <c r="E491" s="1" t="s">
        <v>12</v>
      </c>
      <c r="F491" s="1" t="s">
        <v>13</v>
      </c>
      <c r="G491" s="1" t="str">
        <f>IF(H491="","",IFERROR(INDEX(tblOrgs[Client Name],MATCH(H491,tblOrgs[Client ABN],0)),""))</f>
        <v>Coates Hire Operations Pty Limited</v>
      </c>
      <c r="H491" s="1">
        <v>99074126971</v>
      </c>
    </row>
    <row r="492" spans="1:8" x14ac:dyDescent="0.25">
      <c r="A492" s="1" t="s">
        <v>486</v>
      </c>
      <c r="B492" s="1" t="s">
        <v>11</v>
      </c>
      <c r="C492" s="2">
        <v>45944</v>
      </c>
      <c r="D492" s="2">
        <v>45944</v>
      </c>
      <c r="E492" s="1" t="s">
        <v>12</v>
      </c>
      <c r="F492" s="1" t="s">
        <v>13</v>
      </c>
      <c r="G492" s="1" t="str">
        <f>IF(H492="","",IFERROR(INDEX(tblOrgs[Client Name],MATCH(H492,tblOrgs[Client ABN],0)),""))</f>
        <v>MJB Contractors Pty Ltd</v>
      </c>
      <c r="H492" s="1">
        <v>11091247951</v>
      </c>
    </row>
    <row r="493" spans="1:8" x14ac:dyDescent="0.25">
      <c r="A493" s="1" t="s">
        <v>511</v>
      </c>
      <c r="B493" s="1" t="s">
        <v>11</v>
      </c>
      <c r="C493" s="2">
        <v>45937</v>
      </c>
      <c r="D493" s="2">
        <v>45937</v>
      </c>
      <c r="E493" s="1" t="s">
        <v>12</v>
      </c>
      <c r="F493" s="1" t="s">
        <v>13</v>
      </c>
      <c r="G493" s="1" t="str">
        <f>IF(H493="","",IFERROR(INDEX(tblOrgs[Client Name],MATCH(H493,tblOrgs[Client ABN],0)),""))</f>
        <v>Vaughan Civil Pty Ltd</v>
      </c>
      <c r="H493" s="1">
        <v>50152638447</v>
      </c>
    </row>
    <row r="494" spans="1:8" x14ac:dyDescent="0.25">
      <c r="A494" s="1" t="s">
        <v>483</v>
      </c>
      <c r="B494" s="1" t="s">
        <v>11</v>
      </c>
      <c r="C494" s="2">
        <v>45959</v>
      </c>
      <c r="D494" s="2">
        <v>45959</v>
      </c>
      <c r="E494" s="1" t="s">
        <v>12</v>
      </c>
      <c r="F494" s="1" t="s">
        <v>13</v>
      </c>
      <c r="G494" s="1" t="str">
        <f>IF(H494="","",IFERROR(INDEX(tblOrgs[Client Name],MATCH(H494,tblOrgs[Client ABN],0)),""))</f>
        <v>Mataniel Laurate Pty Ltd</v>
      </c>
      <c r="H494" s="1">
        <v>37094906028</v>
      </c>
    </row>
    <row r="495" spans="1:8" x14ac:dyDescent="0.25">
      <c r="A495" s="1" t="s">
        <v>452</v>
      </c>
      <c r="B495" s="1" t="s">
        <v>11</v>
      </c>
      <c r="C495" s="2">
        <v>45891</v>
      </c>
      <c r="D495" s="2">
        <v>45891</v>
      </c>
      <c r="E495" s="1" t="s">
        <v>12</v>
      </c>
      <c r="F495" s="1" t="s">
        <v>13</v>
      </c>
      <c r="G495" s="1" t="str">
        <f>IF(H495="","",IFERROR(INDEX(tblOrgs[Client Name],MATCH(H495,tblOrgs[Client ABN],0)),""))</f>
        <v>Complete Welding Services International Pty Ltd</v>
      </c>
      <c r="H495" s="1">
        <v>97054579243</v>
      </c>
    </row>
    <row r="496" spans="1:8" x14ac:dyDescent="0.25">
      <c r="A496" s="1" t="s">
        <v>519</v>
      </c>
      <c r="B496" s="1" t="s">
        <v>11</v>
      </c>
      <c r="C496" s="2">
        <v>45953</v>
      </c>
      <c r="D496" s="2">
        <v>45953</v>
      </c>
      <c r="E496" s="1" t="s">
        <v>12</v>
      </c>
      <c r="F496" s="1" t="s">
        <v>62</v>
      </c>
      <c r="G496" s="1" t="str">
        <f>IF(H496="","",IFERROR(INDEX(tblOrgs[Client Name],MATCH(H496,tblOrgs[Client ABN],0)),""))</f>
        <v>Wallace Concrete Pumping Pty Ltd</v>
      </c>
      <c r="H496" s="1">
        <v>49157958177</v>
      </c>
    </row>
    <row r="497" spans="1:8" x14ac:dyDescent="0.25">
      <c r="A497" s="1" t="s">
        <v>513</v>
      </c>
      <c r="B497" s="1" t="s">
        <v>11</v>
      </c>
      <c r="C497" s="2">
        <v>45953</v>
      </c>
      <c r="D497" s="2">
        <v>45953</v>
      </c>
      <c r="E497" s="1" t="s">
        <v>12</v>
      </c>
      <c r="F497" s="1" t="s">
        <v>13</v>
      </c>
      <c r="G497" s="1" t="str">
        <f>IF(H497="","",IFERROR(INDEX(tblOrgs[Client Name],MATCH(H497,tblOrgs[Client ABN],0)),""))</f>
        <v>Wallace Concrete Pumping Pty Ltd</v>
      </c>
      <c r="H497" s="1">
        <v>49157958177</v>
      </c>
    </row>
    <row r="498" spans="1:8" x14ac:dyDescent="0.25">
      <c r="A498" s="1" t="s">
        <v>464</v>
      </c>
      <c r="B498" s="1" t="s">
        <v>11</v>
      </c>
      <c r="C498" s="2">
        <v>45954</v>
      </c>
      <c r="D498" s="2">
        <v>45954</v>
      </c>
      <c r="E498" s="1" t="s">
        <v>12</v>
      </c>
      <c r="F498" s="1" t="s">
        <v>13</v>
      </c>
      <c r="G498" s="1" t="str">
        <f>IF(H498="","",IFERROR(INDEX(tblOrgs[Client Name],MATCH(H498,tblOrgs[Client ABN],0)),""))</f>
        <v>Focus Hire Pty Ltd</v>
      </c>
      <c r="H498" s="1">
        <v>27624650406</v>
      </c>
    </row>
    <row r="499" spans="1:8" x14ac:dyDescent="0.25">
      <c r="A499" s="1" t="s">
        <v>487</v>
      </c>
      <c r="B499" s="1" t="s">
        <v>11</v>
      </c>
      <c r="C499" s="2">
        <v>45962</v>
      </c>
      <c r="D499" s="2">
        <v>45962</v>
      </c>
      <c r="E499" s="1" t="s">
        <v>12</v>
      </c>
      <c r="F499" s="1" t="s">
        <v>13</v>
      </c>
      <c r="G499" s="1" t="str">
        <f>IF(H499="","",IFERROR(INDEX(tblOrgs[Client Name],MATCH(H499,tblOrgs[Client ABN],0)),""))</f>
        <v>Modcast Pty Ltd</v>
      </c>
      <c r="H499" s="1">
        <v>30626198847</v>
      </c>
    </row>
    <row r="500" spans="1:8" x14ac:dyDescent="0.25">
      <c r="A500" s="1" t="s">
        <v>453</v>
      </c>
      <c r="B500" s="1" t="s">
        <v>11</v>
      </c>
      <c r="C500" s="2">
        <v>45983</v>
      </c>
      <c r="D500" s="2">
        <v>45983</v>
      </c>
      <c r="E500" s="1" t="s">
        <v>12</v>
      </c>
      <c r="F500" s="1" t="s">
        <v>13</v>
      </c>
      <c r="G500" s="1" t="str">
        <f>IF(H500="","",IFERROR(INDEX(tblOrgs[Client Name],MATCH(H500,tblOrgs[Client ABN],0)),""))</f>
        <v>Cono Services Pty Ltd</v>
      </c>
      <c r="H500" s="1">
        <v>90167205656</v>
      </c>
    </row>
    <row r="501" spans="1:8" x14ac:dyDescent="0.25">
      <c r="A501" s="1" t="s">
        <v>444</v>
      </c>
      <c r="B501" s="1" t="s">
        <v>11</v>
      </c>
      <c r="C501" s="2">
        <v>45667</v>
      </c>
      <c r="D501" s="2">
        <v>45667</v>
      </c>
      <c r="E501" s="1" t="s">
        <v>12</v>
      </c>
      <c r="F501" s="1" t="s">
        <v>13</v>
      </c>
      <c r="G501" s="1" t="str">
        <f>IF(H501="","",IFERROR(INDEX(tblOrgs[Client Name],MATCH(H501,tblOrgs[Client ABN],0)),""))</f>
        <v>BLASK Pty Ltd</v>
      </c>
      <c r="H501" s="1">
        <v>41813267182</v>
      </c>
    </row>
    <row r="502" spans="1:8" x14ac:dyDescent="0.25">
      <c r="A502" s="1" t="s">
        <v>461</v>
      </c>
      <c r="B502" s="1" t="s">
        <v>11</v>
      </c>
      <c r="C502" s="2">
        <v>45963</v>
      </c>
      <c r="D502" s="2">
        <v>45963</v>
      </c>
      <c r="E502" s="1" t="s">
        <v>12</v>
      </c>
      <c r="F502" s="1" t="s">
        <v>13</v>
      </c>
      <c r="G502" s="1" t="str">
        <f>IF(H502="","",IFERROR(INDEX(tblOrgs[Client Name],MATCH(H502,tblOrgs[Client ABN],0)),""))</f>
        <v>Evolution Group Holdings Pty Ltd</v>
      </c>
      <c r="H502" s="1">
        <v>14147834133</v>
      </c>
    </row>
    <row r="503" spans="1:8" x14ac:dyDescent="0.25">
      <c r="A503" s="1" t="s">
        <v>505</v>
      </c>
      <c r="B503" s="1" t="s">
        <v>11</v>
      </c>
      <c r="C503" s="2">
        <v>45978</v>
      </c>
      <c r="D503" s="2">
        <v>45978</v>
      </c>
      <c r="E503" s="1" t="s">
        <v>12</v>
      </c>
      <c r="F503" s="1" t="s">
        <v>13</v>
      </c>
      <c r="G503" s="1" t="str">
        <f>IF(H503="","",IFERROR(INDEX(tblOrgs[Client Name],MATCH(H503,tblOrgs[Client ABN],0)),""))</f>
        <v>T. Eilbeck &amp; Son Pty Ltd</v>
      </c>
      <c r="H503" s="1">
        <v>22295128214</v>
      </c>
    </row>
    <row r="504" spans="1:8" x14ac:dyDescent="0.25">
      <c r="A504" s="1" t="s">
        <v>472</v>
      </c>
      <c r="B504" s="1" t="s">
        <v>11</v>
      </c>
      <c r="C504" s="2">
        <v>45988</v>
      </c>
      <c r="D504" s="2">
        <v>45988</v>
      </c>
      <c r="E504" s="1" t="s">
        <v>12</v>
      </c>
      <c r="F504" s="1" t="s">
        <v>13</v>
      </c>
      <c r="G504" s="1" t="str">
        <f>IF(H504="","",IFERROR(INDEX(tblOrgs[Client Name],MATCH(H504,tblOrgs[Client ABN],0)),""))</f>
        <v>Kelko Construction Pty. Ltd</v>
      </c>
      <c r="H504" s="1">
        <v>18163328694</v>
      </c>
    </row>
    <row r="505" spans="1:8" x14ac:dyDescent="0.25">
      <c r="A505" s="1" t="s">
        <v>508</v>
      </c>
      <c r="B505" s="1" t="s">
        <v>11</v>
      </c>
      <c r="C505" s="2">
        <v>45987</v>
      </c>
      <c r="D505" s="2">
        <v>45987</v>
      </c>
      <c r="E505" s="1" t="s">
        <v>12</v>
      </c>
      <c r="F505" s="1" t="s">
        <v>13</v>
      </c>
      <c r="G505" s="1" t="str">
        <f>IF(H505="","",IFERROR(INDEX(tblOrgs[Client Name],MATCH(H505,tblOrgs[Client ABN],0)),""))</f>
        <v>Trevi Australia Pty Ltd</v>
      </c>
      <c r="H505" s="1">
        <v>91161293401</v>
      </c>
    </row>
    <row r="506" spans="1:8" x14ac:dyDescent="0.25">
      <c r="A506" s="1" t="s">
        <v>506</v>
      </c>
      <c r="B506" s="1" t="s">
        <v>11</v>
      </c>
      <c r="C506" s="2">
        <v>45978</v>
      </c>
      <c r="D506" s="2">
        <v>45978</v>
      </c>
      <c r="E506" s="1" t="s">
        <v>12</v>
      </c>
      <c r="F506" s="1" t="s">
        <v>13</v>
      </c>
      <c r="G506" s="1" t="str">
        <f>IF(H506="","",IFERROR(INDEX(tblOrgs[Client Name],MATCH(H506,tblOrgs[Client ABN],0)),""))</f>
        <v>TCB Trans Logistics Vic Pty Ltd</v>
      </c>
      <c r="H506" s="1">
        <v>84654629642</v>
      </c>
    </row>
    <row r="507" spans="1:8" x14ac:dyDescent="0.25">
      <c r="A507" s="1" t="s">
        <v>469</v>
      </c>
      <c r="B507" s="1" t="s">
        <v>11</v>
      </c>
      <c r="C507" s="2">
        <v>45815</v>
      </c>
      <c r="D507" s="2">
        <v>45815</v>
      </c>
      <c r="E507" s="1" t="s">
        <v>12</v>
      </c>
      <c r="F507" s="1" t="s">
        <v>13</v>
      </c>
      <c r="G507" s="1" t="str">
        <f>IF(H507="","",IFERROR(INDEX(tblOrgs[Client Name],MATCH(H507,tblOrgs[Client ABN],0)),""))</f>
        <v>Holcim (Australia) Pty Ltd</v>
      </c>
      <c r="H507" s="1">
        <v>87099732297</v>
      </c>
    </row>
    <row r="508" spans="1:8" x14ac:dyDescent="0.25">
      <c r="A508" s="1" t="s">
        <v>2461</v>
      </c>
      <c r="B508" s="1" t="s">
        <v>11</v>
      </c>
      <c r="C508" s="2">
        <v>45999</v>
      </c>
      <c r="D508" s="2">
        <v>45999</v>
      </c>
      <c r="E508" s="1" t="s">
        <v>12</v>
      </c>
      <c r="F508" s="1" t="s">
        <v>13</v>
      </c>
      <c r="G508" s="1" t="str">
        <f>IF(H508="","",IFERROR(INDEX(tblOrgs[Client Name],MATCH(H508,tblOrgs[Client ABN],0)),""))</f>
        <v>Hex Hire Pty Ltd</v>
      </c>
      <c r="H508" s="1">
        <v>74848500748</v>
      </c>
    </row>
    <row r="509" spans="1:8" x14ac:dyDescent="0.25">
      <c r="A509" s="1" t="s">
        <v>2462</v>
      </c>
      <c r="B509" s="1" t="s">
        <v>11</v>
      </c>
      <c r="C509" s="2">
        <v>45977</v>
      </c>
      <c r="D509" s="2">
        <v>45977</v>
      </c>
      <c r="E509" s="1" t="s">
        <v>12</v>
      </c>
      <c r="F509" s="1" t="s">
        <v>13</v>
      </c>
      <c r="G509" s="1" t="str">
        <f>IF(H509="","",IFERROR(INDEX(tblOrgs[Client Name],MATCH(H509,tblOrgs[Client ABN],0)),""))</f>
        <v>Symal Group Pty Ltd</v>
      </c>
      <c r="H509" s="1">
        <v>72615255466</v>
      </c>
    </row>
    <row r="510" spans="1:8" x14ac:dyDescent="0.25">
      <c r="A510" s="1" t="s">
        <v>2463</v>
      </c>
      <c r="B510" s="1" t="s">
        <v>11</v>
      </c>
      <c r="C510" s="2">
        <v>45991</v>
      </c>
      <c r="D510" s="2">
        <v>45991</v>
      </c>
      <c r="E510" s="1" t="s">
        <v>12</v>
      </c>
      <c r="F510" s="1" t="s">
        <v>13</v>
      </c>
      <c r="G510" s="1" t="str">
        <f>IF(H510="","",IFERROR(INDEX(tblOrgs[Client Name],MATCH(H510,tblOrgs[Client ABN],0)),""))</f>
        <v>Q Electrical Services Pty Ltd</v>
      </c>
      <c r="H510" s="1">
        <v>70068064817</v>
      </c>
    </row>
    <row r="511" spans="1:8" x14ac:dyDescent="0.25">
      <c r="A511" s="1" t="s">
        <v>2464</v>
      </c>
      <c r="B511" s="1" t="s">
        <v>11</v>
      </c>
      <c r="C511" s="2">
        <v>46004</v>
      </c>
      <c r="D511" s="2">
        <v>46004</v>
      </c>
      <c r="E511" s="1" t="s">
        <v>12</v>
      </c>
      <c r="F511" s="1" t="s">
        <v>13</v>
      </c>
      <c r="G511" s="1" t="str">
        <f>IF(H511="","",IFERROR(INDEX(tblOrgs[Client Name],MATCH(H511,tblOrgs[Client ABN],0)),""))</f>
        <v>Freight Movement Pty Ltd</v>
      </c>
      <c r="H511" s="1">
        <v>61130823933</v>
      </c>
    </row>
    <row r="512" spans="1:8" x14ac:dyDescent="0.25">
      <c r="A512" s="1" t="s">
        <v>2465</v>
      </c>
      <c r="B512" s="1" t="s">
        <v>11</v>
      </c>
      <c r="C512" s="2">
        <v>45999</v>
      </c>
      <c r="D512" s="2">
        <v>45999</v>
      </c>
      <c r="E512" s="1" t="s">
        <v>12</v>
      </c>
      <c r="F512" s="1" t="s">
        <v>13</v>
      </c>
      <c r="G512" s="1" t="str">
        <f>IF(H512="","",IFERROR(INDEX(tblOrgs[Client Name],MATCH(H512,tblOrgs[Client ABN],0)),""))</f>
        <v>HDD Drilling Pty Ltd</v>
      </c>
      <c r="H512" s="1">
        <v>20654502557</v>
      </c>
    </row>
    <row r="513" spans="1:8" x14ac:dyDescent="0.25">
      <c r="A513" s="1" t="s">
        <v>2466</v>
      </c>
      <c r="B513" s="1" t="s">
        <v>11</v>
      </c>
      <c r="C513" s="2">
        <v>46006</v>
      </c>
      <c r="D513" s="2">
        <v>46006</v>
      </c>
      <c r="E513" s="1" t="s">
        <v>12</v>
      </c>
      <c r="F513" s="1" t="s">
        <v>13</v>
      </c>
      <c r="G513" s="1" t="str">
        <f>IF(H513="","",IFERROR(INDEX(tblOrgs[Client Name],MATCH(H513,tblOrgs[Client ABN],0)),""))</f>
        <v>Integrated Heavylift Pty Ltd</v>
      </c>
      <c r="H513" s="1">
        <v>27691732699</v>
      </c>
    </row>
    <row r="514" spans="1:8" x14ac:dyDescent="0.25">
      <c r="A514" s="1" t="s">
        <v>2467</v>
      </c>
      <c r="B514" s="1" t="s">
        <v>11</v>
      </c>
      <c r="C514" s="2">
        <v>45962</v>
      </c>
      <c r="D514" s="2">
        <v>45962</v>
      </c>
      <c r="E514" s="1" t="s">
        <v>12</v>
      </c>
      <c r="F514" s="1" t="s">
        <v>13</v>
      </c>
      <c r="G514" s="1" t="str">
        <f>IF(H514="","",IFERROR(INDEX(tblOrgs[Client Name],MATCH(H514,tblOrgs[Client ABN],0)),""))</f>
        <v>Reinforced Earth Pty Ltd</v>
      </c>
      <c r="H514" s="1">
        <v>53001215327</v>
      </c>
    </row>
    <row r="515" spans="1:8" x14ac:dyDescent="0.25">
      <c r="A515" s="1" t="s">
        <v>2468</v>
      </c>
      <c r="B515" s="1" t="s">
        <v>11</v>
      </c>
      <c r="C515" s="2">
        <v>46053</v>
      </c>
      <c r="D515" s="2">
        <v>46053</v>
      </c>
      <c r="E515" s="1" t="s">
        <v>12</v>
      </c>
      <c r="F515" s="1" t="s">
        <v>13</v>
      </c>
      <c r="G515" s="1" t="str">
        <f>IF(H515="","",IFERROR(INDEX(tblOrgs[Client Name],MATCH(H515,tblOrgs[Client ABN],0)),""))</f>
        <v>Eire Midland Constructions Pty Ltd</v>
      </c>
      <c r="H515" s="1">
        <v>45079929687</v>
      </c>
    </row>
    <row r="516" spans="1:8" x14ac:dyDescent="0.25">
      <c r="A516" s="1" t="s">
        <v>2469</v>
      </c>
      <c r="B516" s="1" t="s">
        <v>11</v>
      </c>
      <c r="C516" s="2">
        <v>45625</v>
      </c>
      <c r="D516" s="2">
        <v>45990</v>
      </c>
      <c r="E516" s="1" t="s">
        <v>12</v>
      </c>
      <c r="F516" s="1" t="s">
        <v>13</v>
      </c>
      <c r="G516" s="1" t="str">
        <f>IF(H516="","",IFERROR(INDEX(tblOrgs[Client Name],MATCH(H516,tblOrgs[Client ABN],0)),""))</f>
        <v>RAF Civil Pty Ltd</v>
      </c>
      <c r="H516" s="1">
        <v>53623928003</v>
      </c>
    </row>
    <row r="517" spans="1:8" x14ac:dyDescent="0.25">
      <c r="A517" s="1" t="s">
        <v>2470</v>
      </c>
      <c r="B517" s="1" t="s">
        <v>11</v>
      </c>
      <c r="C517" s="2">
        <v>46009</v>
      </c>
      <c r="D517" s="2">
        <v>46009</v>
      </c>
      <c r="E517" s="1" t="s">
        <v>12</v>
      </c>
      <c r="F517" s="1" t="s">
        <v>13</v>
      </c>
      <c r="G517" s="1" t="str">
        <f>IF(H517="","",IFERROR(INDEX(tblOrgs[Client Name],MATCH(H517,tblOrgs[Client ABN],0)),""))</f>
        <v>Adamson Earthmovers Services Pty Ltd</v>
      </c>
      <c r="H517" s="1">
        <v>83641467558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7"/>
  <sheetViews>
    <sheetView tabSelected="1" topLeftCell="A492" workbookViewId="0">
      <selection activeCell="C13" sqref="C13"/>
    </sheetView>
  </sheetViews>
  <sheetFormatPr defaultRowHeight="15" x14ac:dyDescent="0.25"/>
  <cols>
    <col min="1" max="1" width="16.7109375" customWidth="1"/>
    <col min="2" max="2" width="13.28515625" customWidth="1"/>
    <col min="3" max="3" width="19" customWidth="1"/>
    <col min="4" max="4" width="8.28515625" customWidth="1"/>
    <col min="5" max="5" width="11.85546875" customWidth="1"/>
    <col min="6" max="7" width="17.28515625" bestFit="1" customWidth="1"/>
    <col min="8" max="8" width="42.85546875" customWidth="1"/>
    <col min="9" max="9" width="52.5703125" bestFit="1" customWidth="1"/>
    <col min="10" max="10" width="23.7109375" customWidth="1"/>
    <col min="11" max="11" width="12.28515625" customWidth="1"/>
  </cols>
  <sheetData>
    <row r="1" spans="1:11" x14ac:dyDescent="0.25">
      <c r="A1" t="s">
        <v>521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2490</v>
      </c>
      <c r="J1" t="s">
        <v>2488</v>
      </c>
      <c r="K1" t="s">
        <v>522</v>
      </c>
    </row>
    <row r="2" spans="1:11" x14ac:dyDescent="0.25">
      <c r="A2" s="1" t="s">
        <v>588</v>
      </c>
      <c r="B2" s="1" t="s">
        <v>45</v>
      </c>
      <c r="C2" s="1" t="s">
        <v>589</v>
      </c>
      <c r="D2" s="1">
        <v>1</v>
      </c>
      <c r="E2" s="1" t="s">
        <v>525</v>
      </c>
      <c r="F2" s="4">
        <v>44018</v>
      </c>
      <c r="G2" s="4">
        <f>IF(F2="","",EDATE(F2,12)-1)</f>
        <v>44382</v>
      </c>
      <c r="H2" s="1" t="str">
        <f>IFERROR(INDEX(tblAudits[Audit Type],MATCH(B2,tblAudits[Audit ID],0)),"")</f>
        <v>HVNL Management Plan</v>
      </c>
      <c r="I2" s="1" t="str">
        <f>IF(J2="","",IFERROR(INDEX(tblOrgs[Client Name],MATCH(J2,tblOrgs[Client ABN],0)),""))</f>
        <v>Orange Equipment Pty Ltd</v>
      </c>
      <c r="J2" s="1">
        <f>IFERROR(INDEX(tblAudits[Client ABN],MATCH(B2,tblAudits[Audit ID],0)),"")</f>
        <v>97133373154</v>
      </c>
      <c r="K2" s="1"/>
    </row>
    <row r="3" spans="1:11" x14ac:dyDescent="0.25">
      <c r="A3" s="1" t="s">
        <v>572</v>
      </c>
      <c r="B3" s="1" t="s">
        <v>37</v>
      </c>
      <c r="C3" s="1" t="s">
        <v>573</v>
      </c>
      <c r="D3" s="1">
        <v>1</v>
      </c>
      <c r="E3" s="1" t="s">
        <v>525</v>
      </c>
      <c r="F3" s="4">
        <v>44017</v>
      </c>
      <c r="G3" s="4">
        <f>IF(F3="","",EDATE(F3,12)-1)</f>
        <v>44381</v>
      </c>
      <c r="H3" s="1" t="str">
        <f>IFERROR(INDEX(tblAudits[Audit Type],MATCH(B3,tblAudits[Audit ID],0)),"")</f>
        <v>HVNL Management Plan</v>
      </c>
      <c r="I3" s="1" t="str">
        <f>IF(J3="","",IFERROR(INDEX(tblOrgs[Client Name],MATCH(J3,tblOrgs[Client ABN],0)),""))</f>
        <v>LJ &amp; LJ Pty Ltd</v>
      </c>
      <c r="J3" s="1">
        <f>IFERROR(INDEX(tblAudits[Client ABN],MATCH(B3,tblAudits[Audit ID],0)),"")</f>
        <v>33612534442</v>
      </c>
      <c r="K3" s="1"/>
    </row>
    <row r="4" spans="1:11" x14ac:dyDescent="0.25">
      <c r="A4" s="1" t="s">
        <v>536</v>
      </c>
      <c r="B4" s="1" t="s">
        <v>19</v>
      </c>
      <c r="C4" s="1" t="s">
        <v>537</v>
      </c>
      <c r="D4" s="1">
        <v>1</v>
      </c>
      <c r="E4" s="1" t="s">
        <v>525</v>
      </c>
      <c r="F4" s="4">
        <v>44025</v>
      </c>
      <c r="G4" s="4">
        <f>IF(F4="","",EDATE(F4,12)-1)</f>
        <v>44389</v>
      </c>
      <c r="H4" s="1" t="str">
        <f>IFERROR(INDEX(tblAudits[Audit Type],MATCH(B4,tblAudits[Audit ID],0)),"")</f>
        <v>HVNL Management Plan</v>
      </c>
      <c r="I4" s="1" t="str">
        <f>IF(J4="","",IFERROR(INDEX(tblOrgs[Client Name],MATCH(J4,tblOrgs[Client ABN],0)),""))</f>
        <v>Brent Young Cranes Pty Ltd</v>
      </c>
      <c r="J4" s="1">
        <f>IFERROR(INDEX(tblAudits[Client ABN],MATCH(B4,tblAudits[Audit ID],0)),"")</f>
        <v>74795954655</v>
      </c>
      <c r="K4" s="1"/>
    </row>
    <row r="5" spans="1:11" x14ac:dyDescent="0.25">
      <c r="A5" s="1" t="s">
        <v>562</v>
      </c>
      <c r="B5" s="1" t="s">
        <v>32</v>
      </c>
      <c r="C5" s="1" t="s">
        <v>563</v>
      </c>
      <c r="D5" s="1">
        <v>1</v>
      </c>
      <c r="E5" s="1" t="s">
        <v>525</v>
      </c>
      <c r="F5" s="4">
        <v>44028</v>
      </c>
      <c r="G5" s="4">
        <f>IF(F5="","",EDATE(F5,12)-1)</f>
        <v>44392</v>
      </c>
      <c r="H5" s="1" t="str">
        <f>IFERROR(INDEX(tblAudits[Audit Type],MATCH(B5,tblAudits[Audit ID],0)),"")</f>
        <v>HVNL Management Plan</v>
      </c>
      <c r="I5" s="1" t="str">
        <f>IF(J5="","",IFERROR(INDEX(tblOrgs[Client Name],MATCH(J5,tblOrgs[Client ABN],0)),""))</f>
        <v>GVP Fabricators Pty Ltd</v>
      </c>
      <c r="J5" s="1">
        <f>IFERROR(INDEX(tblAudits[Client ABN],MATCH(B5,tblAudits[Audit ID],0)),"")</f>
        <v>59082132394</v>
      </c>
      <c r="K5" s="1"/>
    </row>
    <row r="6" spans="1:11" x14ac:dyDescent="0.25">
      <c r="A6" s="1" t="s">
        <v>598</v>
      </c>
      <c r="B6" s="1" t="s">
        <v>50</v>
      </c>
      <c r="C6" s="1" t="s">
        <v>599</v>
      </c>
      <c r="D6" s="1">
        <v>1</v>
      </c>
      <c r="E6" s="1" t="s">
        <v>525</v>
      </c>
      <c r="F6" s="4">
        <v>44032</v>
      </c>
      <c r="G6" s="4">
        <f>IF(F6="","",EDATE(F6,12)-1)</f>
        <v>44396</v>
      </c>
      <c r="H6" s="1" t="str">
        <f>IFERROR(INDEX(tblAudits[Audit Type],MATCH(B6,tblAudits[Audit ID],0)),"")</f>
        <v>HVNL Management Plan</v>
      </c>
      <c r="I6" s="1" t="str">
        <f>IF(J6="","",IFERROR(INDEX(tblOrgs[Client Name],MATCH(J6,tblOrgs[Client ABN],0)),""))</f>
        <v>Rocla Pty Limited</v>
      </c>
      <c r="J6" s="1">
        <f>IFERROR(INDEX(tblAudits[Client ABN],MATCH(B6,tblAudits[Audit ID],0)),"")</f>
        <v>31000032191</v>
      </c>
      <c r="K6" s="1"/>
    </row>
    <row r="7" spans="1:11" x14ac:dyDescent="0.25">
      <c r="A7" s="1" t="s">
        <v>600</v>
      </c>
      <c r="B7" s="1" t="s">
        <v>51</v>
      </c>
      <c r="C7" s="1" t="s">
        <v>601</v>
      </c>
      <c r="D7" s="1">
        <v>1</v>
      </c>
      <c r="E7" s="1" t="s">
        <v>525</v>
      </c>
      <c r="F7" s="4">
        <v>44029</v>
      </c>
      <c r="G7" s="4">
        <f>IF(F7="","",EDATE(F7,12)-1)</f>
        <v>44393</v>
      </c>
      <c r="H7" s="1" t="str">
        <f>IFERROR(INDEX(tblAudits[Audit Type],MATCH(B7,tblAudits[Audit ID],0)),"")</f>
        <v>HVNL Management Plan</v>
      </c>
      <c r="I7" s="1" t="str">
        <f>IF(J7="","",IFERROR(INDEX(tblOrgs[Client Name],MATCH(J7,tblOrgs[Client ABN],0)),""))</f>
        <v>RPM Hire Australia Pty Ltd</v>
      </c>
      <c r="J7" s="1">
        <f>IFERROR(INDEX(tblAudits[Client ABN],MATCH(B7,tblAudits[Audit ID],0)),"")</f>
        <v>30619873504</v>
      </c>
      <c r="K7" s="1"/>
    </row>
    <row r="8" spans="1:11" x14ac:dyDescent="0.25">
      <c r="A8" s="1" t="s">
        <v>552</v>
      </c>
      <c r="B8" s="1" t="s">
        <v>27</v>
      </c>
      <c r="C8" s="1" t="s">
        <v>553</v>
      </c>
      <c r="D8" s="1">
        <v>1</v>
      </c>
      <c r="E8" s="1" t="s">
        <v>525</v>
      </c>
      <c r="F8" s="4">
        <v>44030</v>
      </c>
      <c r="G8" s="4">
        <f>IF(F8="","",EDATE(F8,12)-1)</f>
        <v>44394</v>
      </c>
      <c r="H8" s="1" t="str">
        <f>IFERROR(INDEX(tblAudits[Audit Type],MATCH(B8,tblAudits[Audit ID],0)),"")</f>
        <v>HVNL Management Plan</v>
      </c>
      <c r="I8" s="1" t="str">
        <f>IF(J8="","",IFERROR(INDEX(tblOrgs[Client Name],MATCH(J8,tblOrgs[Client ABN],0)),""))</f>
        <v>Economical Engineering Services Australia Pty Ltd</v>
      </c>
      <c r="J8" s="1">
        <f>IFERROR(INDEX(tblAudits[Client ABN],MATCH(B8,tblAudits[Audit ID],0)),"")</f>
        <v>67136336831</v>
      </c>
      <c r="K8" s="1"/>
    </row>
    <row r="9" spans="1:11" x14ac:dyDescent="0.25">
      <c r="A9" s="1" t="s">
        <v>564</v>
      </c>
      <c r="B9" s="1" t="s">
        <v>33</v>
      </c>
      <c r="C9" s="1" t="s">
        <v>565</v>
      </c>
      <c r="D9" s="1">
        <v>1</v>
      </c>
      <c r="E9" s="1" t="s">
        <v>525</v>
      </c>
      <c r="F9" s="4">
        <v>44032</v>
      </c>
      <c r="G9" s="4">
        <f>IF(F9="","",EDATE(F9,12)-1)</f>
        <v>44396</v>
      </c>
      <c r="H9" s="1" t="str">
        <f>IFERROR(INDEX(tblAudits[Audit Type],MATCH(B9,tblAudits[Audit ID],0)),"")</f>
        <v>HVNL Management Plan</v>
      </c>
      <c r="I9" s="1" t="str">
        <f>IF(J9="","",IFERROR(INDEX(tblOrgs[Client Name],MATCH(J9,tblOrgs[Client ABN],0)),""))</f>
        <v>Holcim (Australia) Pty Ltd</v>
      </c>
      <c r="J9" s="1">
        <f>IFERROR(INDEX(tblAudits[Client ABN],MATCH(B9,tblAudits[Audit ID],0)),"")</f>
        <v>87099732297</v>
      </c>
      <c r="K9" s="1"/>
    </row>
    <row r="10" spans="1:11" x14ac:dyDescent="0.25">
      <c r="A10" s="1" t="s">
        <v>616</v>
      </c>
      <c r="B10" s="1" t="s">
        <v>59</v>
      </c>
      <c r="C10" s="1" t="s">
        <v>617</v>
      </c>
      <c r="D10" s="1">
        <v>1</v>
      </c>
      <c r="E10" s="1" t="s">
        <v>525</v>
      </c>
      <c r="F10" s="4">
        <v>44033</v>
      </c>
      <c r="G10" s="4">
        <f>IF(F10="","",EDATE(F10,12)-1)</f>
        <v>44397</v>
      </c>
      <c r="H10" s="1" t="str">
        <f>IFERROR(INDEX(tblAudits[Audit Type],MATCH(B10,tblAudits[Audit ID],0)),"")</f>
        <v>HVNL Management Plan</v>
      </c>
      <c r="I10" s="1" t="str">
        <f>IF(J10="","",IFERROR(INDEX(tblOrgs[Client Name],MATCH(J10,tblOrgs[Client ABN],0)),""))</f>
        <v>Wabtec Australia Pty Ltd</v>
      </c>
      <c r="J10" s="1">
        <f>IFERROR(INDEX(tblAudits[Client ABN],MATCH(B10,tblAudits[Audit ID],0)),"")</f>
        <v>61087058099</v>
      </c>
      <c r="K10" s="1"/>
    </row>
    <row r="11" spans="1:11" x14ac:dyDescent="0.25">
      <c r="A11" s="1" t="s">
        <v>622</v>
      </c>
      <c r="B11" s="1" t="s">
        <v>63</v>
      </c>
      <c r="C11" s="1" t="s">
        <v>623</v>
      </c>
      <c r="D11" s="1">
        <v>1</v>
      </c>
      <c r="E11" s="1" t="s">
        <v>525</v>
      </c>
      <c r="F11" s="4">
        <v>44034</v>
      </c>
      <c r="G11" s="4">
        <f>IF(F11="","",EDATE(F11,12)-1)</f>
        <v>44398</v>
      </c>
      <c r="H11" s="1" t="str">
        <f>IFERROR(INDEX(tblAudits[Audit Type],MATCH(B11,tblAudits[Audit ID],0)),"")</f>
        <v>WHS Management System</v>
      </c>
      <c r="I11" s="1" t="str">
        <f>IF(J11="","",IFERROR(INDEX(tblOrgs[Client Name],MATCH(J11,tblOrgs[Client ABN],0)),""))</f>
        <v>Crown Scaffold Pty Ltd</v>
      </c>
      <c r="J11" s="1">
        <f>IFERROR(INDEX(tblAudits[Client ABN],MATCH(B11,tblAudits[Audit ID],0)),"")</f>
        <v>60632106139</v>
      </c>
      <c r="K11" s="1"/>
    </row>
    <row r="12" spans="1:11" x14ac:dyDescent="0.25">
      <c r="A12" s="1" t="s">
        <v>542</v>
      </c>
      <c r="B12" s="1" t="s">
        <v>22</v>
      </c>
      <c r="C12" s="1" t="s">
        <v>543</v>
      </c>
      <c r="D12" s="1">
        <v>1</v>
      </c>
      <c r="E12" s="1" t="s">
        <v>525</v>
      </c>
      <c r="F12" s="4">
        <v>44034</v>
      </c>
      <c r="G12" s="4">
        <f>IF(F12="","",EDATE(F12,12)-1)</f>
        <v>44398</v>
      </c>
      <c r="H12" s="1" t="str">
        <f>IFERROR(INDEX(tblAudits[Audit Type],MATCH(B12,tblAudits[Audit ID],0)),"")</f>
        <v>HVNL Management Plan</v>
      </c>
      <c r="I12" s="1" t="str">
        <f>IF(J12="","",IFERROR(INDEX(tblOrgs[Client Name],MATCH(J12,tblOrgs[Client ABN],0)),""))</f>
        <v>Crown Scaffold Pty Ltd</v>
      </c>
      <c r="J12" s="1">
        <f>IFERROR(INDEX(tblAudits[Client ABN],MATCH(B12,tblAudits[Audit ID],0)),"")</f>
        <v>60632106139</v>
      </c>
      <c r="K12" s="1"/>
    </row>
    <row r="13" spans="1:11" x14ac:dyDescent="0.25">
      <c r="A13" s="1" t="s">
        <v>528</v>
      </c>
      <c r="B13" s="1" t="s">
        <v>15</v>
      </c>
      <c r="C13" s="1" t="s">
        <v>529</v>
      </c>
      <c r="D13" s="1">
        <v>1</v>
      </c>
      <c r="E13" s="1" t="s">
        <v>525</v>
      </c>
      <c r="F13" s="4">
        <v>44034</v>
      </c>
      <c r="G13" s="4">
        <f>IF(F13="","",EDATE(F13,12)-1)</f>
        <v>44398</v>
      </c>
      <c r="H13" s="1" t="str">
        <f>IFERROR(INDEX(tblAudits[Audit Type],MATCH(B13,tblAudits[Audit ID],0)),"")</f>
        <v>HVNL Management Plan</v>
      </c>
      <c r="I13" s="1" t="str">
        <f>IF(J13="","",IFERROR(INDEX(tblOrgs[Client Name],MATCH(J13,tblOrgs[Client ABN],0)),""))</f>
        <v>Ash (Vic) Pty Ltd</v>
      </c>
      <c r="J13" s="1">
        <f>IFERROR(INDEX(tblAudits[Client ABN],MATCH(B13,tblAudits[Audit ID],0)),"")</f>
        <v>29115372613</v>
      </c>
      <c r="K13" s="1"/>
    </row>
    <row r="14" spans="1:11" x14ac:dyDescent="0.25">
      <c r="A14" s="1" t="s">
        <v>602</v>
      </c>
      <c r="B14" s="1" t="s">
        <v>52</v>
      </c>
      <c r="C14" s="1" t="s">
        <v>603</v>
      </c>
      <c r="D14" s="1">
        <v>1</v>
      </c>
      <c r="E14" s="1" t="s">
        <v>525</v>
      </c>
      <c r="F14" s="4">
        <v>44036</v>
      </c>
      <c r="G14" s="4">
        <f>IF(F14="","",EDATE(F14,12)-1)</f>
        <v>44400</v>
      </c>
      <c r="H14" s="1" t="str">
        <f>IFERROR(INDEX(tblAudits[Audit Type],MATCH(B14,tblAudits[Audit ID],0)),"")</f>
        <v>HVNL Management Plan</v>
      </c>
      <c r="I14" s="1" t="str">
        <f>IF(J14="","",IFERROR(INDEX(tblOrgs[Client Name],MATCH(J14,tblOrgs[Client ABN],0)),""))</f>
        <v>Shearform Pty Ltd</v>
      </c>
      <c r="J14" s="1">
        <f>IFERROR(INDEX(tblAudits[Client ABN],MATCH(B14,tblAudits[Audit ID],0)),"")</f>
        <v>82099070872</v>
      </c>
      <c r="K14" s="1"/>
    </row>
    <row r="15" spans="1:11" x14ac:dyDescent="0.25">
      <c r="A15" s="1" t="s">
        <v>546</v>
      </c>
      <c r="B15" s="1" t="s">
        <v>24</v>
      </c>
      <c r="C15" s="1" t="s">
        <v>547</v>
      </c>
      <c r="D15" s="1">
        <v>1</v>
      </c>
      <c r="E15" s="1" t="s">
        <v>525</v>
      </c>
      <c r="F15" s="4">
        <v>44042</v>
      </c>
      <c r="G15" s="4">
        <f>IF(F15="","",EDATE(F15,12)-1)</f>
        <v>44406</v>
      </c>
      <c r="H15" s="1" t="str">
        <f>IFERROR(INDEX(tblAudits[Audit Type],MATCH(B15,tblAudits[Audit ID],0)),"")</f>
        <v>HVNL Management Plan</v>
      </c>
      <c r="I15" s="1" t="str">
        <f>IF(J15="","",IFERROR(INDEX(tblOrgs[Client Name],MATCH(J15,tblOrgs[Client ABN],0)),""))</f>
        <v>David Harris Earthmoving Pty Ltd</v>
      </c>
      <c r="J15" s="1">
        <f>IFERROR(INDEX(tblAudits[Client ABN],MATCH(B15,tblAudits[Audit ID],0)),"")</f>
        <v>45387405936</v>
      </c>
      <c r="K15" s="1"/>
    </row>
    <row r="16" spans="1:11" x14ac:dyDescent="0.25">
      <c r="A16" s="1" t="s">
        <v>608</v>
      </c>
      <c r="B16" s="1" t="s">
        <v>55</v>
      </c>
      <c r="C16" s="1" t="s">
        <v>609</v>
      </c>
      <c r="D16" s="1">
        <v>1</v>
      </c>
      <c r="E16" s="1" t="s">
        <v>525</v>
      </c>
      <c r="F16" s="4">
        <v>44057</v>
      </c>
      <c r="G16" s="4">
        <f>IF(F16="","",EDATE(F16,12)-1)</f>
        <v>44421</v>
      </c>
      <c r="H16" s="1" t="str">
        <f>IFERROR(INDEX(tblAudits[Audit Type],MATCH(B16,tblAudits[Audit ID],0)),"")</f>
        <v>HVNL Management Plan</v>
      </c>
      <c r="I16" s="1" t="str">
        <f>IF(J16="","",IFERROR(INDEX(tblOrgs[Client Name],MATCH(J16,tblOrgs[Client ABN],0)),""))</f>
        <v>SRS Drilling Pty Ltd</v>
      </c>
      <c r="J16" s="1">
        <f>IFERROR(INDEX(tblAudits[Client ABN],MATCH(B16,tblAudits[Audit ID],0)),"")</f>
        <v>84161973413</v>
      </c>
      <c r="K16" s="1"/>
    </row>
    <row r="17" spans="1:11" x14ac:dyDescent="0.25">
      <c r="A17" s="1" t="s">
        <v>550</v>
      </c>
      <c r="B17" s="1" t="s">
        <v>26</v>
      </c>
      <c r="C17" s="1" t="s">
        <v>551</v>
      </c>
      <c r="D17" s="1">
        <v>1</v>
      </c>
      <c r="E17" s="1" t="s">
        <v>525</v>
      </c>
      <c r="F17" s="4">
        <v>44057</v>
      </c>
      <c r="G17" s="4">
        <f>IF(F17="","",EDATE(F17,12)-1)</f>
        <v>44421</v>
      </c>
      <c r="H17" s="1" t="str">
        <f>IFERROR(INDEX(tblAudits[Audit Type],MATCH(B17,tblAudits[Audit ID],0)),"")</f>
        <v>HVNL Management Plan</v>
      </c>
      <c r="I17" s="1" t="str">
        <f>IF(J17="","",IFERROR(INDEX(tblOrgs[Client Name],MATCH(J17,tblOrgs[Client ABN],0)),""))</f>
        <v>Earthtek Excavations Pty Ltd</v>
      </c>
      <c r="J17" s="1">
        <f>IFERROR(INDEX(tblAudits[Client ABN],MATCH(B17,tblAudits[Audit ID],0)),"")</f>
        <v>54090536575</v>
      </c>
      <c r="K17" s="1"/>
    </row>
    <row r="18" spans="1:11" x14ac:dyDescent="0.25">
      <c r="A18" s="1" t="s">
        <v>624</v>
      </c>
      <c r="B18" s="1" t="s">
        <v>64</v>
      </c>
      <c r="C18" s="1" t="s">
        <v>625</v>
      </c>
      <c r="D18" s="1">
        <v>1</v>
      </c>
      <c r="E18" s="1" t="s">
        <v>525</v>
      </c>
      <c r="F18" s="4">
        <v>44057</v>
      </c>
      <c r="G18" s="4">
        <f>IF(F18="","",EDATE(F18,12)-1)</f>
        <v>44421</v>
      </c>
      <c r="H18" s="1" t="str">
        <f>IFERROR(INDEX(tblAudits[Audit Type],MATCH(B18,tblAudits[Audit ID],0)),"")</f>
        <v>WHS Management System</v>
      </c>
      <c r="I18" s="1" t="str">
        <f>IF(J18="","",IFERROR(INDEX(tblOrgs[Client Name],MATCH(J18,tblOrgs[Client ABN],0)),""))</f>
        <v>Earthtek Excavations Pty Ltd</v>
      </c>
      <c r="J18" s="1">
        <f>IFERROR(INDEX(tblAudits[Client ABN],MATCH(B18,tblAudits[Audit ID],0)),"")</f>
        <v>54090536575</v>
      </c>
      <c r="K18" s="1"/>
    </row>
    <row r="19" spans="1:11" x14ac:dyDescent="0.25">
      <c r="A19" s="1" t="s">
        <v>540</v>
      </c>
      <c r="B19" s="1" t="s">
        <v>21</v>
      </c>
      <c r="C19" s="1" t="s">
        <v>541</v>
      </c>
      <c r="D19" s="1">
        <v>1</v>
      </c>
      <c r="E19" s="1" t="s">
        <v>525</v>
      </c>
      <c r="F19" s="4">
        <v>44069</v>
      </c>
      <c r="G19" s="4">
        <f>IF(F19="","",EDATE(F19,12)-1)</f>
        <v>44433</v>
      </c>
      <c r="H19" s="1" t="str">
        <f>IFERROR(INDEX(tblAudits[Audit Type],MATCH(B19,tblAudits[Audit ID],0)),"")</f>
        <v>HVNL Management Plan</v>
      </c>
      <c r="I19" s="1" t="str">
        <f>IF(J19="","",IFERROR(INDEX(tblOrgs[Client Name],MATCH(J19,tblOrgs[Client ABN],0)),""))</f>
        <v>Commercial Construction Specialists Pty Ltd</v>
      </c>
      <c r="J19" s="1">
        <f>IFERROR(INDEX(tblAudits[Client ABN],MATCH(B19,tblAudits[Audit ID],0)),"")</f>
        <v>96145874344</v>
      </c>
      <c r="K19" s="1"/>
    </row>
    <row r="20" spans="1:11" x14ac:dyDescent="0.25">
      <c r="A20" s="1" t="s">
        <v>604</v>
      </c>
      <c r="B20" s="1" t="s">
        <v>53</v>
      </c>
      <c r="C20" s="1" t="s">
        <v>605</v>
      </c>
      <c r="D20" s="1">
        <v>1</v>
      </c>
      <c r="E20" s="1" t="s">
        <v>525</v>
      </c>
      <c r="F20" s="4">
        <v>44074</v>
      </c>
      <c r="G20" s="4">
        <f>IF(F20="","",EDATE(F20,12)-1)</f>
        <v>44438</v>
      </c>
      <c r="H20" s="1" t="str">
        <f>IFERROR(INDEX(tblAudits[Audit Type],MATCH(B20,tblAudits[Audit ID],0)),"")</f>
        <v>HVNL Management Plan</v>
      </c>
      <c r="I20" s="1" t="str">
        <f>IF(J20="","",IFERROR(INDEX(tblOrgs[Client Name],MATCH(J20,tblOrgs[Client ABN],0)),""))</f>
        <v>Sixense Oceania Pty Ltd</v>
      </c>
      <c r="J20" s="1">
        <f>IFERROR(INDEX(tblAudits[Client ABN],MATCH(B20,tblAudits[Audit ID],0)),"")</f>
        <v>37163754845</v>
      </c>
      <c r="K20" s="1"/>
    </row>
    <row r="21" spans="1:11" x14ac:dyDescent="0.25">
      <c r="A21" s="1" t="s">
        <v>544</v>
      </c>
      <c r="B21" s="1" t="s">
        <v>23</v>
      </c>
      <c r="C21" s="1" t="s">
        <v>545</v>
      </c>
      <c r="D21" s="1">
        <v>1</v>
      </c>
      <c r="E21" s="1" t="s">
        <v>525</v>
      </c>
      <c r="F21" s="4">
        <v>44081</v>
      </c>
      <c r="G21" s="4">
        <f>IF(F21="","",EDATE(F21,12)-1)</f>
        <v>44445</v>
      </c>
      <c r="H21" s="1" t="str">
        <f>IFERROR(INDEX(tblAudits[Audit Type],MATCH(B21,tblAudits[Audit ID],0)),"")</f>
        <v>HVNL Management Plan</v>
      </c>
      <c r="I21" s="1" t="str">
        <f>IF(J21="","",IFERROR(INDEX(tblOrgs[Client Name],MATCH(J21,tblOrgs[Client ABN],0)),""))</f>
        <v>CSA Specialised Services Pty Ltd</v>
      </c>
      <c r="J21" s="1">
        <f>IFERROR(INDEX(tblAudits[Client ABN],MATCH(B21,tblAudits[Audit ID],0)),"")</f>
        <v>11757908807</v>
      </c>
      <c r="K21" s="1"/>
    </row>
    <row r="22" spans="1:11" x14ac:dyDescent="0.25">
      <c r="A22" s="1" t="s">
        <v>538</v>
      </c>
      <c r="B22" s="1" t="s">
        <v>20</v>
      </c>
      <c r="C22" s="1" t="s">
        <v>539</v>
      </c>
      <c r="D22" s="1">
        <v>1</v>
      </c>
      <c r="E22" s="1" t="s">
        <v>525</v>
      </c>
      <c r="F22" s="4">
        <v>44081</v>
      </c>
      <c r="G22" s="4">
        <f>IF(F22="","",EDATE(F22,12)-1)</f>
        <v>44445</v>
      </c>
      <c r="H22" s="1" t="str">
        <f>IFERROR(INDEX(tblAudits[Audit Type],MATCH(B22,tblAudits[Audit ID],0)),"")</f>
        <v>HVNL Management Plan</v>
      </c>
      <c r="I22" s="1" t="str">
        <f>IF(J22="","",IFERROR(INDEX(tblOrgs[Client Name],MATCH(J22,tblOrgs[Client ABN],0)),""))</f>
        <v>Coates Hire Operations Pty Limited</v>
      </c>
      <c r="J22" s="1">
        <f>IFERROR(INDEX(tblAudits[Client ABN],MATCH(B22,tblAudits[Audit ID],0)),"")</f>
        <v>99074126971</v>
      </c>
      <c r="K22" s="1"/>
    </row>
    <row r="23" spans="1:11" x14ac:dyDescent="0.25">
      <c r="A23" s="1" t="s">
        <v>614</v>
      </c>
      <c r="B23" s="1" t="s">
        <v>58</v>
      </c>
      <c r="C23" s="1" t="s">
        <v>615</v>
      </c>
      <c r="D23" s="1">
        <v>1</v>
      </c>
      <c r="E23" s="1" t="s">
        <v>525</v>
      </c>
      <c r="F23" s="4">
        <v>44089</v>
      </c>
      <c r="G23" s="4">
        <f>IF(F23="","",EDATE(F23,12)-1)</f>
        <v>44453</v>
      </c>
      <c r="H23" s="1" t="str">
        <f>IFERROR(INDEX(tblAudits[Audit Type],MATCH(B23,tblAudits[Audit ID],0)),"")</f>
        <v>HVNL Management Plan</v>
      </c>
      <c r="I23" s="1" t="str">
        <f>IF(J23="","",IFERROR(INDEX(tblOrgs[Client Name],MATCH(J23,tblOrgs[Client ABN],0)),""))</f>
        <v>Victorian Crane Hire Pty Ltd</v>
      </c>
      <c r="J23" s="1">
        <f>IFERROR(INDEX(tblAudits[Client ABN],MATCH(B23,tblAudits[Audit ID],0)),"")</f>
        <v>15619105092</v>
      </c>
      <c r="K23" s="1"/>
    </row>
    <row r="24" spans="1:11" x14ac:dyDescent="0.25">
      <c r="A24" s="1" t="s">
        <v>560</v>
      </c>
      <c r="B24" s="1" t="s">
        <v>31</v>
      </c>
      <c r="C24" s="1" t="s">
        <v>561</v>
      </c>
      <c r="D24" s="1">
        <v>1</v>
      </c>
      <c r="E24" s="1" t="s">
        <v>525</v>
      </c>
      <c r="F24" s="4">
        <v>44089</v>
      </c>
      <c r="G24" s="4">
        <f>IF(F24="","",EDATE(F24,12)-1)</f>
        <v>44453</v>
      </c>
      <c r="H24" s="1" t="str">
        <f>IFERROR(INDEX(tblAudits[Audit Type],MATCH(B24,tblAudits[Audit ID],0)),"")</f>
        <v>HVNL Management Plan</v>
      </c>
      <c r="I24" s="1" t="str">
        <f>IF(J24="","",IFERROR(INDEX(tblOrgs[Client Name],MATCH(J24,tblOrgs[Client ABN],0)),""))</f>
        <v>Fredon (Vic) Electrical Pty Ltd</v>
      </c>
      <c r="J24" s="1">
        <f>IFERROR(INDEX(tblAudits[Client ABN],MATCH(B24,tblAudits[Audit ID],0)),"")</f>
        <v>99621855025</v>
      </c>
      <c r="K24" s="1"/>
    </row>
    <row r="25" spans="1:11" x14ac:dyDescent="0.25">
      <c r="A25" s="1" t="s">
        <v>606</v>
      </c>
      <c r="B25" s="1" t="s">
        <v>54</v>
      </c>
      <c r="C25" s="1" t="s">
        <v>607</v>
      </c>
      <c r="D25" s="1">
        <v>1</v>
      </c>
      <c r="E25" s="1" t="s">
        <v>525</v>
      </c>
      <c r="F25" s="4">
        <v>44091</v>
      </c>
      <c r="G25" s="4">
        <f>IF(F25="","",EDATE(F25,12)-1)</f>
        <v>44455</v>
      </c>
      <c r="H25" s="1" t="str">
        <f>IFERROR(INDEX(tblAudits[Audit Type],MATCH(B25,tblAudits[Audit ID],0)),"")</f>
        <v>HVNL Management Plan</v>
      </c>
      <c r="I25" s="1" t="str">
        <f>IF(J25="","",IFERROR(INDEX(tblOrgs[Client Name],MATCH(J25,tblOrgs[Client ABN],0)),""))</f>
        <v>Speno Rail Maintenance Australia Pty Ltd</v>
      </c>
      <c r="J25" s="1">
        <f>IFERROR(INDEX(tblAudits[Client ABN],MATCH(B25,tblAudits[Audit ID],0)),"")</f>
        <v>30009206722</v>
      </c>
      <c r="K25" s="1"/>
    </row>
    <row r="26" spans="1:11" x14ac:dyDescent="0.25">
      <c r="A26" s="1" t="s">
        <v>548</v>
      </c>
      <c r="B26" s="1" t="s">
        <v>25</v>
      </c>
      <c r="C26" s="1" t="s">
        <v>549</v>
      </c>
      <c r="D26" s="1">
        <v>1</v>
      </c>
      <c r="E26" s="1" t="s">
        <v>525</v>
      </c>
      <c r="F26" s="4">
        <v>44095</v>
      </c>
      <c r="G26" s="4">
        <f>IF(F26="","",EDATE(F26,12)-1)</f>
        <v>44459</v>
      </c>
      <c r="H26" s="1" t="str">
        <f>IFERROR(INDEX(tblAudits[Audit Type],MATCH(B26,tblAudits[Audit ID],0)),"")</f>
        <v>HVNL Management Plan</v>
      </c>
      <c r="I26" s="1" t="str">
        <f>IF(J26="","",IFERROR(INDEX(tblOrgs[Client Name],MATCH(J26,tblOrgs[Client ABN],0)),""))</f>
        <v>Drilltec Pty Ltd</v>
      </c>
      <c r="J26" s="1">
        <f>IFERROR(INDEX(tblAudits[Client ABN],MATCH(B26,tblAudits[Audit ID],0)),"")</f>
        <v>74925026670</v>
      </c>
      <c r="K26" s="1"/>
    </row>
    <row r="27" spans="1:11" x14ac:dyDescent="0.25">
      <c r="A27" s="1" t="s">
        <v>620</v>
      </c>
      <c r="B27" s="1" t="s">
        <v>61</v>
      </c>
      <c r="C27" s="1" t="s">
        <v>621</v>
      </c>
      <c r="D27" s="1">
        <v>1</v>
      </c>
      <c r="E27" s="1" t="s">
        <v>525</v>
      </c>
      <c r="F27" s="4">
        <v>44102</v>
      </c>
      <c r="G27" s="4">
        <f>IF(F27="","",EDATE(F27,12)-1)</f>
        <v>44466</v>
      </c>
      <c r="H27" s="1" t="str">
        <f>IFERROR(INDEX(tblAudits[Audit Type],MATCH(B27,tblAudits[Audit ID],0)),"")</f>
        <v>WHS Management System</v>
      </c>
      <c r="I27" s="1" t="str">
        <f>IF(J27="","",IFERROR(INDEX(tblOrgs[Client Name],MATCH(J27,tblOrgs[Client ABN],0)),""))</f>
        <v>Commercial Construction Specialists Pty Ltd</v>
      </c>
      <c r="J27" s="1">
        <f>IFERROR(INDEX(tblAudits[Client ABN],MATCH(B27,tblAudits[Audit ID],0)),"")</f>
        <v>96145874344</v>
      </c>
      <c r="K27" s="1"/>
    </row>
    <row r="28" spans="1:11" x14ac:dyDescent="0.25">
      <c r="A28" s="1" t="s">
        <v>574</v>
      </c>
      <c r="B28" s="1" t="s">
        <v>38</v>
      </c>
      <c r="C28" s="1" t="s">
        <v>575</v>
      </c>
      <c r="D28" s="1">
        <v>1</v>
      </c>
      <c r="E28" s="1" t="s">
        <v>525</v>
      </c>
      <c r="F28" s="4">
        <v>44110</v>
      </c>
      <c r="G28" s="4">
        <f>IF(F28="","",EDATE(F28,12)-1)</f>
        <v>44474</v>
      </c>
      <c r="H28" s="1" t="str">
        <f>IFERROR(INDEX(tblAudits[Audit Type],MATCH(B28,tblAudits[Audit ID],0)),"")</f>
        <v>HVNL Management Plan</v>
      </c>
      <c r="I28" s="1" t="str">
        <f>IF(J28="","",IFERROR(INDEX(tblOrgs[Client Name],MATCH(J28,tblOrgs[Client ABN],0)),""))</f>
        <v>Maas Group Holdings</v>
      </c>
      <c r="J28" s="1">
        <f>IFERROR(INDEX(tblAudits[Client ABN],MATCH(B28,tblAudits[Audit ID],0)),"")</f>
        <v>84632994542</v>
      </c>
      <c r="K28" s="1"/>
    </row>
    <row r="29" spans="1:11" x14ac:dyDescent="0.25">
      <c r="A29" s="1" t="s">
        <v>584</v>
      </c>
      <c r="B29" s="1" t="s">
        <v>43</v>
      </c>
      <c r="C29" s="1" t="s">
        <v>585</v>
      </c>
      <c r="D29" s="1">
        <v>1</v>
      </c>
      <c r="E29" s="1" t="s">
        <v>525</v>
      </c>
      <c r="F29" s="4">
        <v>44105</v>
      </c>
      <c r="G29" s="4">
        <f>IF(F29="","",EDATE(F29,12)-1)</f>
        <v>44469</v>
      </c>
      <c r="H29" s="1" t="str">
        <f>IFERROR(INDEX(tblAudits[Audit Type],MATCH(B29,tblAudits[Audit ID],0)),"")</f>
        <v>HVNL Management Plan</v>
      </c>
      <c r="I29" s="1" t="str">
        <f>IF(J29="","",IFERROR(INDEX(tblOrgs[Client Name],MATCH(J29,tblOrgs[Client ABN],0)),""))</f>
        <v>Neilsens Holdings Pty Ltd</v>
      </c>
      <c r="J29" s="1">
        <f>IFERROR(INDEX(tblAudits[Client ABN],MATCH(B29,tblAudits[Audit ID],0)),"")</f>
        <v>92009940989</v>
      </c>
      <c r="K29" s="1"/>
    </row>
    <row r="30" spans="1:11" x14ac:dyDescent="0.25">
      <c r="A30" s="1" t="s">
        <v>523</v>
      </c>
      <c r="B30" s="1" t="s">
        <v>10</v>
      </c>
      <c r="C30" s="1" t="s">
        <v>524</v>
      </c>
      <c r="D30" s="1">
        <v>1</v>
      </c>
      <c r="E30" s="1" t="s">
        <v>525</v>
      </c>
      <c r="F30" s="4">
        <v>44106</v>
      </c>
      <c r="G30" s="4">
        <f>IF(F30="","",EDATE(F30,12)-1)</f>
        <v>44470</v>
      </c>
      <c r="H30" s="1" t="str">
        <f>IFERROR(INDEX(tblAudits[Audit Type],MATCH(B30,tblAudits[Audit ID],0)),"")</f>
        <v>HVNL Management Plan</v>
      </c>
      <c r="I30" s="1" t="str">
        <f>IF(J30="","",IFERROR(INDEX(tblOrgs[Client Name],MATCH(J30,tblOrgs[Client ABN],0)),""))</f>
        <v>A C Whalan &amp; Co Pty Ltd</v>
      </c>
      <c r="J30" s="1">
        <f>IFERROR(INDEX(tblAudits[Client ABN],MATCH(B30,tblAudits[Audit ID],0)),"")</f>
        <v>90003499849</v>
      </c>
      <c r="K30" s="1"/>
    </row>
    <row r="31" spans="1:11" x14ac:dyDescent="0.25">
      <c r="A31" s="1" t="s">
        <v>530</v>
      </c>
      <c r="B31" s="1" t="s">
        <v>16</v>
      </c>
      <c r="C31" s="1" t="s">
        <v>531</v>
      </c>
      <c r="D31" s="1">
        <v>1</v>
      </c>
      <c r="E31" s="1" t="s">
        <v>525</v>
      </c>
      <c r="F31" s="4">
        <v>44119</v>
      </c>
      <c r="G31" s="4">
        <f>IF(F31="","",EDATE(F31,12)-1)</f>
        <v>44483</v>
      </c>
      <c r="H31" s="1" t="str">
        <f>IFERROR(INDEX(tblAudits[Audit Type],MATCH(B31,tblAudits[Audit ID],0)),"")</f>
        <v>HVNL Management Plan</v>
      </c>
      <c r="I31" s="1" t="str">
        <f>IF(J31="","",IFERROR(INDEX(tblOrgs[Client Name],MATCH(J31,tblOrgs[Client ABN],0)),""))</f>
        <v>ATCO Structures and Logistics Pty Ltd</v>
      </c>
      <c r="J31" s="1">
        <f>IFERROR(INDEX(tblAudits[Client ABN],MATCH(B31,tblAudits[Audit ID],0)),"")</f>
        <v>71083902309</v>
      </c>
      <c r="K31" s="1"/>
    </row>
    <row r="32" spans="1:11" x14ac:dyDescent="0.25">
      <c r="A32" s="1" t="s">
        <v>612</v>
      </c>
      <c r="B32" s="1" t="s">
        <v>57</v>
      </c>
      <c r="C32" s="1" t="s">
        <v>613</v>
      </c>
      <c r="D32" s="1">
        <v>1</v>
      </c>
      <c r="E32" s="1" t="s">
        <v>525</v>
      </c>
      <c r="F32" s="4">
        <v>44119</v>
      </c>
      <c r="G32" s="4">
        <f>IF(F32="","",EDATE(F32,12)-1)</f>
        <v>44483</v>
      </c>
      <c r="H32" s="1" t="str">
        <f>IFERROR(INDEX(tblAudits[Audit Type],MATCH(B32,tblAudits[Audit ID],0)),"")</f>
        <v>HVNL Management Plan</v>
      </c>
      <c r="I32" s="1" t="str">
        <f>IF(J32="","",IFERROR(INDEX(tblOrgs[Client Name],MATCH(J32,tblOrgs[Client ABN],0)),""))</f>
        <v>Symal Group Pty Ltd</v>
      </c>
      <c r="J32" s="1">
        <f>IFERROR(INDEX(tblAudits[Client ABN],MATCH(B32,tblAudits[Audit ID],0)),"")</f>
        <v>72615255466</v>
      </c>
      <c r="K32" s="1"/>
    </row>
    <row r="33" spans="1:11" x14ac:dyDescent="0.25">
      <c r="A33" s="1" t="s">
        <v>590</v>
      </c>
      <c r="B33" s="1" t="s">
        <v>46</v>
      </c>
      <c r="C33" s="1" t="s">
        <v>591</v>
      </c>
      <c r="D33" s="1">
        <v>1</v>
      </c>
      <c r="E33" s="1" t="s">
        <v>525</v>
      </c>
      <c r="F33" s="4">
        <v>44118</v>
      </c>
      <c r="G33" s="4">
        <f>IF(F33="","",EDATE(F33,12)-1)</f>
        <v>44482</v>
      </c>
      <c r="H33" s="1" t="str">
        <f>IFERROR(INDEX(tblAudits[Audit Type],MATCH(B33,tblAudits[Audit ID],0)),"")</f>
        <v>HVNL Management Plan</v>
      </c>
      <c r="I33" s="1" t="str">
        <f>IF(J33="","",IFERROR(INDEX(tblOrgs[Client Name],MATCH(J33,tblOrgs[Client ABN],0)),""))</f>
        <v>Precision Pipe Networks Pty Ltd</v>
      </c>
      <c r="J33" s="1">
        <f>IFERROR(INDEX(tblAudits[Client ABN],MATCH(B33,tblAudits[Audit ID],0)),"")</f>
        <v>79610774199</v>
      </c>
      <c r="K33" s="1"/>
    </row>
    <row r="34" spans="1:11" x14ac:dyDescent="0.25">
      <c r="A34" s="1" t="s">
        <v>570</v>
      </c>
      <c r="B34" s="1" t="s">
        <v>36</v>
      </c>
      <c r="C34" s="1" t="s">
        <v>571</v>
      </c>
      <c r="D34" s="1">
        <v>1</v>
      </c>
      <c r="E34" s="1" t="s">
        <v>525</v>
      </c>
      <c r="F34" s="4">
        <v>44119</v>
      </c>
      <c r="G34" s="4">
        <f>IF(F34="","",EDATE(F34,12)-1)</f>
        <v>44483</v>
      </c>
      <c r="H34" s="1" t="str">
        <f>IFERROR(INDEX(tblAudits[Audit Type],MATCH(B34,tblAudits[Audit ID],0)),"")</f>
        <v>HVNL Management Plan</v>
      </c>
      <c r="I34" s="1" t="str">
        <f>IF(J34="","",IFERROR(INDEX(tblOrgs[Client Name],MATCH(J34,tblOrgs[Client ABN],0)),""))</f>
        <v>LCR Group Pty Ltd</v>
      </c>
      <c r="J34" s="1">
        <f>IFERROR(INDEX(tblAudits[Client ABN],MATCH(B34,tblAudits[Audit ID],0)),"")</f>
        <v>78095626798</v>
      </c>
      <c r="K34" s="1"/>
    </row>
    <row r="35" spans="1:11" x14ac:dyDescent="0.25">
      <c r="A35" s="1" t="s">
        <v>592</v>
      </c>
      <c r="B35" s="1" t="s">
        <v>47</v>
      </c>
      <c r="C35" s="1" t="s">
        <v>593</v>
      </c>
      <c r="D35" s="1">
        <v>1</v>
      </c>
      <c r="E35" s="1" t="s">
        <v>525</v>
      </c>
      <c r="F35" s="4">
        <v>44124</v>
      </c>
      <c r="G35" s="4">
        <f>IF(F35="","",EDATE(F35,12)-1)</f>
        <v>44488</v>
      </c>
      <c r="H35" s="1" t="str">
        <f>IFERROR(INDEX(tblAudits[Audit Type],MATCH(B35,tblAudits[Audit ID],0)),"")</f>
        <v>HVNL Management Plan</v>
      </c>
      <c r="I35" s="1" t="str">
        <f>IF(J35="","",IFERROR(INDEX(tblOrgs[Client Name],MATCH(J35,tblOrgs[Client ABN],0)),""))</f>
        <v>Queensland Pre-Stressing Pty Ltd</v>
      </c>
      <c r="J35" s="1">
        <f>IFERROR(INDEX(tblAudits[Client ABN],MATCH(B35,tblAudits[Audit ID],0)),"")</f>
        <v>95063541873</v>
      </c>
      <c r="K35" s="1"/>
    </row>
    <row r="36" spans="1:11" x14ac:dyDescent="0.25">
      <c r="A36" s="1" t="s">
        <v>568</v>
      </c>
      <c r="B36" s="1" t="s">
        <v>35</v>
      </c>
      <c r="C36" s="1" t="s">
        <v>569</v>
      </c>
      <c r="D36" s="1">
        <v>1</v>
      </c>
      <c r="E36" s="1" t="s">
        <v>525</v>
      </c>
      <c r="F36" s="4">
        <v>44126</v>
      </c>
      <c r="G36" s="4">
        <f>IF(F36="","",EDATE(F36,12)-1)</f>
        <v>44490</v>
      </c>
      <c r="H36" s="1" t="str">
        <f>IFERROR(INDEX(tblAudits[Audit Type],MATCH(B36,tblAudits[Audit ID],0)),"")</f>
        <v>HVNL Management Plan</v>
      </c>
      <c r="I36" s="1" t="str">
        <f>IF(J36="","",IFERROR(INDEX(tblOrgs[Client Name],MATCH(J36,tblOrgs[Client ABN],0)),""))</f>
        <v>Kenny Constructions (Aust.) Pty. Limited</v>
      </c>
      <c r="J36" s="1">
        <f>IFERROR(INDEX(tblAudits[Client ABN],MATCH(B36,tblAudits[Audit ID],0)),"")</f>
        <v>74096169416</v>
      </c>
      <c r="K36" s="1"/>
    </row>
    <row r="37" spans="1:11" x14ac:dyDescent="0.25">
      <c r="A37" s="1" t="s">
        <v>566</v>
      </c>
      <c r="B37" s="1" t="s">
        <v>34</v>
      </c>
      <c r="C37" s="1" t="s">
        <v>567</v>
      </c>
      <c r="D37" s="1">
        <v>1</v>
      </c>
      <c r="E37" s="1" t="s">
        <v>525</v>
      </c>
      <c r="F37" s="4">
        <v>44131</v>
      </c>
      <c r="G37" s="4">
        <f>IF(F37="","",EDATE(F37,12)-1)</f>
        <v>44495</v>
      </c>
      <c r="H37" s="1" t="str">
        <f>IFERROR(INDEX(tblAudits[Audit Type],MATCH(B37,tblAudits[Audit ID],0)),"")</f>
        <v>HVNL Management Plan</v>
      </c>
      <c r="I37" s="1" t="str">
        <f>IF(J37="","",IFERROR(INDEX(tblOrgs[Client Name],MATCH(J37,tblOrgs[Client ABN],0)),""))</f>
        <v>Idec Solutions Pty Ltd</v>
      </c>
      <c r="J37" s="1">
        <f>IFERROR(INDEX(tblAudits[Client ABN],MATCH(B37,tblAudits[Audit ID],0)),"")</f>
        <v>15082559920</v>
      </c>
      <c r="K37" s="1"/>
    </row>
    <row r="38" spans="1:11" x14ac:dyDescent="0.25">
      <c r="A38" s="1" t="s">
        <v>586</v>
      </c>
      <c r="B38" s="1" t="s">
        <v>44</v>
      </c>
      <c r="C38" s="1" t="s">
        <v>587</v>
      </c>
      <c r="D38" s="1">
        <v>1</v>
      </c>
      <c r="E38" s="1" t="s">
        <v>525</v>
      </c>
      <c r="F38" s="4">
        <v>44131</v>
      </c>
      <c r="G38" s="4">
        <f>IF(F38="","",EDATE(F38,12)-1)</f>
        <v>44495</v>
      </c>
      <c r="H38" s="1" t="str">
        <f>IFERROR(INDEX(tblAudits[Audit Type],MATCH(B38,tblAudits[Audit ID],0)),"")</f>
        <v>HVNL Management Plan</v>
      </c>
      <c r="I38" s="1" t="str">
        <f>IF(J38="","",IFERROR(INDEX(tblOrgs[Client Name],MATCH(J38,tblOrgs[Client ABN],0)),""))</f>
        <v>Online Fire &amp; Security Pty Ltd</v>
      </c>
      <c r="J38" s="1">
        <f>IFERROR(INDEX(tblAudits[Client ABN],MATCH(B38,tblAudits[Audit ID],0)),"")</f>
        <v>70147790261</v>
      </c>
      <c r="K38" s="1"/>
    </row>
    <row r="39" spans="1:11" x14ac:dyDescent="0.25">
      <c r="A39" s="1" t="s">
        <v>576</v>
      </c>
      <c r="B39" s="1" t="s">
        <v>39</v>
      </c>
      <c r="C39" s="1" t="s">
        <v>577</v>
      </c>
      <c r="D39" s="1">
        <v>1</v>
      </c>
      <c r="E39" s="1" t="s">
        <v>525</v>
      </c>
      <c r="F39" s="4">
        <v>43832</v>
      </c>
      <c r="G39" s="4">
        <f>IF(F39="","",EDATE(F39,12)-1)</f>
        <v>44197</v>
      </c>
      <c r="H39" s="1" t="str">
        <f>IFERROR(INDEX(tblAudits[Audit Type],MATCH(B39,tblAudits[Audit ID],0)),"")</f>
        <v>HVNL Management Plan</v>
      </c>
      <c r="I39" s="1" t="str">
        <f>IF(J39="","",IFERROR(INDEX(tblOrgs[Client Name],MATCH(J39,tblOrgs[Client ABN],0)),""))</f>
        <v>Marine Industries Victoria Pty Ltd</v>
      </c>
      <c r="J39" s="1">
        <f>IFERROR(INDEX(tblAudits[Client ABN],MATCH(B39,tblAudits[Audit ID],0)),"")</f>
        <v>74629274540</v>
      </c>
      <c r="K39" s="1"/>
    </row>
    <row r="40" spans="1:11" x14ac:dyDescent="0.25">
      <c r="A40" s="1" t="s">
        <v>582</v>
      </c>
      <c r="B40" s="1" t="s">
        <v>42</v>
      </c>
      <c r="C40" s="1" t="s">
        <v>583</v>
      </c>
      <c r="D40" s="1">
        <v>1</v>
      </c>
      <c r="E40" s="1" t="s">
        <v>525</v>
      </c>
      <c r="F40" s="4">
        <v>44137</v>
      </c>
      <c r="G40" s="4">
        <f>IF(F40="","",EDATE(F40,12)-1)</f>
        <v>44501</v>
      </c>
      <c r="H40" s="1" t="str">
        <f>IFERROR(INDEX(tblAudits[Audit Type],MATCH(B40,tblAudits[Audit ID],0)),"")</f>
        <v>HVNL Management Plan</v>
      </c>
      <c r="I40" s="1" t="str">
        <f>IF(J40="","",IFERROR(INDEX(tblOrgs[Client Name],MATCH(J40,tblOrgs[Client ABN],0)),""))</f>
        <v>Modcast Pty Ltd</v>
      </c>
      <c r="J40" s="1">
        <f>IFERROR(INDEX(tblAudits[Client ABN],MATCH(B40,tblAudits[Audit ID],0)),"")</f>
        <v>30626198847</v>
      </c>
      <c r="K40" s="1"/>
    </row>
    <row r="41" spans="1:11" x14ac:dyDescent="0.25">
      <c r="A41" s="1" t="s">
        <v>578</v>
      </c>
      <c r="B41" s="1" t="s">
        <v>40</v>
      </c>
      <c r="C41" s="1" t="s">
        <v>579</v>
      </c>
      <c r="D41" s="1">
        <v>1</v>
      </c>
      <c r="E41" s="1" t="s">
        <v>525</v>
      </c>
      <c r="F41" s="4">
        <v>44134</v>
      </c>
      <c r="G41" s="4">
        <f>IF(F41="","",EDATE(F41,12)-1)</f>
        <v>44498</v>
      </c>
      <c r="H41" s="1" t="str">
        <f>IFERROR(INDEX(tblAudits[Audit Type],MATCH(B41,tblAudits[Audit ID],0)),"")</f>
        <v>HVNL Management Plan</v>
      </c>
      <c r="I41" s="1" t="str">
        <f>IF(J41="","",IFERROR(INDEX(tblOrgs[Client Name],MATCH(J41,tblOrgs[Client ABN],0)),""))</f>
        <v>Mataniel Laurate Pty Ltd</v>
      </c>
      <c r="J41" s="1">
        <f>IFERROR(INDEX(tblAudits[Client ABN],MATCH(B41,tblAudits[Audit ID],0)),"")</f>
        <v>37094906028</v>
      </c>
      <c r="K41" s="1"/>
    </row>
    <row r="42" spans="1:11" x14ac:dyDescent="0.25">
      <c r="A42" s="1" t="s">
        <v>594</v>
      </c>
      <c r="B42" s="1" t="s">
        <v>48</v>
      </c>
      <c r="C42" s="1" t="s">
        <v>595</v>
      </c>
      <c r="D42" s="1">
        <v>1</v>
      </c>
      <c r="E42" s="1" t="s">
        <v>525</v>
      </c>
      <c r="F42" s="4">
        <v>44137</v>
      </c>
      <c r="G42" s="4">
        <f>IF(F42="","",EDATE(F42,12)-1)</f>
        <v>44501</v>
      </c>
      <c r="H42" s="1" t="str">
        <f>IFERROR(INDEX(tblAudits[Audit Type],MATCH(B42,tblAudits[Audit ID],0)),"")</f>
        <v>HVNL Management Plan</v>
      </c>
      <c r="I42" s="1" t="str">
        <f>IF(J42="","",IFERROR(INDEX(tblOrgs[Client Name],MATCH(J42,tblOrgs[Client ABN],0)),""))</f>
        <v>Reinforced Earth Pty Ltd</v>
      </c>
      <c r="J42" s="1">
        <f>IFERROR(INDEX(tblAudits[Client ABN],MATCH(B42,tblAudits[Audit ID],0)),"")</f>
        <v>53001215327</v>
      </c>
      <c r="K42" s="1"/>
    </row>
    <row r="43" spans="1:11" x14ac:dyDescent="0.25">
      <c r="A43" s="1" t="s">
        <v>610</v>
      </c>
      <c r="B43" s="1" t="s">
        <v>56</v>
      </c>
      <c r="C43" s="1" t="s">
        <v>611</v>
      </c>
      <c r="D43" s="1">
        <v>1</v>
      </c>
      <c r="E43" s="1" t="s">
        <v>525</v>
      </c>
      <c r="F43" s="4">
        <v>44137</v>
      </c>
      <c r="G43" s="4">
        <f>IF(F43="","",EDATE(F43,12)-1)</f>
        <v>44501</v>
      </c>
      <c r="H43" s="1" t="str">
        <f>IFERROR(INDEX(tblAudits[Audit Type],MATCH(B43,tblAudits[Audit ID],0)),"")</f>
        <v>HVNL Management Plan</v>
      </c>
      <c r="I43" s="1" t="str">
        <f>IF(J43="","",IFERROR(INDEX(tblOrgs[Client Name],MATCH(J43,tblOrgs[Client ABN],0)),""))</f>
        <v>Stephens Plant Hire Pty Ltd</v>
      </c>
      <c r="J43" s="1">
        <f>IFERROR(INDEX(tblAudits[Client ABN],MATCH(B43,tblAudits[Audit ID],0)),"")</f>
        <v>41612483011</v>
      </c>
      <c r="K43" s="1"/>
    </row>
    <row r="44" spans="1:11" x14ac:dyDescent="0.25">
      <c r="A44" s="1" t="s">
        <v>534</v>
      </c>
      <c r="B44" s="1" t="s">
        <v>18</v>
      </c>
      <c r="C44" s="1" t="s">
        <v>535</v>
      </c>
      <c r="D44" s="1">
        <v>1</v>
      </c>
      <c r="E44" s="1" t="s">
        <v>525</v>
      </c>
      <c r="F44" s="4">
        <v>44140</v>
      </c>
      <c r="G44" s="4">
        <f>IF(F44="","",EDATE(F44,12)-1)</f>
        <v>44504</v>
      </c>
      <c r="H44" s="1" t="str">
        <f>IFERROR(INDEX(tblAudits[Audit Type],MATCH(B44,tblAudits[Audit ID],0)),"")</f>
        <v>HVNL Management Plan</v>
      </c>
      <c r="I44" s="1" t="str">
        <f>IF(J44="","",IFERROR(INDEX(tblOrgs[Client Name],MATCH(J44,tblOrgs[Client ABN],0)),""))</f>
        <v>Boral Resources (QLD) Pty Limited</v>
      </c>
      <c r="J44" s="1">
        <f>IFERROR(INDEX(tblAudits[Client ABN],MATCH(B44,tblAudits[Audit ID],0)),"")</f>
        <v>46009671809</v>
      </c>
      <c r="K44" s="1"/>
    </row>
    <row r="45" spans="1:11" x14ac:dyDescent="0.25">
      <c r="A45" s="1" t="s">
        <v>558</v>
      </c>
      <c r="B45" s="1" t="s">
        <v>30</v>
      </c>
      <c r="C45" s="1" t="s">
        <v>559</v>
      </c>
      <c r="D45" s="1">
        <v>1</v>
      </c>
      <c r="E45" s="1" t="s">
        <v>525</v>
      </c>
      <c r="F45" s="4">
        <v>44138</v>
      </c>
      <c r="G45" s="4">
        <f>IF(F45="","",EDATE(F45,12)-1)</f>
        <v>44502</v>
      </c>
      <c r="H45" s="1" t="str">
        <f>IFERROR(INDEX(tblAudits[Audit Type],MATCH(B45,tblAudits[Audit ID],0)),"")</f>
        <v>HVNL Management Plan</v>
      </c>
      <c r="I45" s="1" t="str">
        <f>IF(J45="","",IFERROR(INDEX(tblOrgs[Client Name],MATCH(J45,tblOrgs[Client ABN],0)),""))</f>
        <v>Evolution Group Holdings Pty Ltd</v>
      </c>
      <c r="J45" s="1">
        <f>IFERROR(INDEX(tblAudits[Client ABN],MATCH(B45,tblAudits[Audit ID],0)),"")</f>
        <v>14147834133</v>
      </c>
      <c r="K45" s="1"/>
    </row>
    <row r="46" spans="1:11" x14ac:dyDescent="0.25">
      <c r="A46" s="1" t="s">
        <v>556</v>
      </c>
      <c r="B46" s="1" t="s">
        <v>29</v>
      </c>
      <c r="C46" s="1" t="s">
        <v>557</v>
      </c>
      <c r="D46" s="1">
        <v>1</v>
      </c>
      <c r="E46" s="1" t="s">
        <v>525</v>
      </c>
      <c r="F46" s="4">
        <v>44146</v>
      </c>
      <c r="G46" s="4">
        <f>IF(F46="","",EDATE(F46,12)-1)</f>
        <v>44510</v>
      </c>
      <c r="H46" s="1" t="str">
        <f>IFERROR(INDEX(tblAudits[Audit Type],MATCH(B46,tblAudits[Audit ID],0)),"")</f>
        <v>HVNL Management Plan</v>
      </c>
      <c r="I46" s="1" t="str">
        <f>IF(J46="","",IFERROR(INDEX(tblOrgs[Client Name],MATCH(J46,tblOrgs[Client ABN],0)),""))</f>
        <v>Environmental Vegetation Management Australia Pty Ltd</v>
      </c>
      <c r="J46" s="1">
        <f>IFERROR(INDEX(tblAudits[Client ABN],MATCH(B46,tblAudits[Audit ID],0)),"")</f>
        <v>57241050567</v>
      </c>
      <c r="K46" s="1"/>
    </row>
    <row r="47" spans="1:11" x14ac:dyDescent="0.25">
      <c r="A47" s="1" t="s">
        <v>596</v>
      </c>
      <c r="B47" s="1" t="s">
        <v>49</v>
      </c>
      <c r="C47" s="1" t="s">
        <v>597</v>
      </c>
      <c r="D47" s="1">
        <v>1</v>
      </c>
      <c r="E47" s="1" t="s">
        <v>525</v>
      </c>
      <c r="F47" s="4">
        <v>44166</v>
      </c>
      <c r="G47" s="4">
        <f>IF(F47="","",EDATE(F47,12)-1)</f>
        <v>44530</v>
      </c>
      <c r="H47" s="1" t="str">
        <f>IFERROR(INDEX(tblAudits[Audit Type],MATCH(B47,tblAudits[Audit ID],0)),"")</f>
        <v>HVNL Management Plan</v>
      </c>
      <c r="I47" s="1" t="str">
        <f>IF(J47="","",IFERROR(INDEX(tblOrgs[Client Name],MATCH(J47,tblOrgs[Client ABN],0)),""))</f>
        <v>Retaining Solutions Design Construct Pty Limited</v>
      </c>
      <c r="J47" s="1">
        <f>IFERROR(INDEX(tblAudits[Client ABN],MATCH(B47,tblAudits[Audit ID],0)),"")</f>
        <v>16103223721</v>
      </c>
      <c r="K47" s="1"/>
    </row>
    <row r="48" spans="1:11" x14ac:dyDescent="0.25">
      <c r="A48" s="1" t="s">
        <v>618</v>
      </c>
      <c r="B48" s="1" t="s">
        <v>60</v>
      </c>
      <c r="C48" s="1" t="s">
        <v>619</v>
      </c>
      <c r="D48" s="1">
        <v>1</v>
      </c>
      <c r="E48" s="1" t="s">
        <v>525</v>
      </c>
      <c r="F48" s="4">
        <v>44159</v>
      </c>
      <c r="G48" s="4">
        <f>IF(F48="","",EDATE(F48,12)-1)</f>
        <v>44523</v>
      </c>
      <c r="H48" s="1" t="str">
        <f>IFERROR(INDEX(tblAudits[Audit Type],MATCH(B48,tblAudits[Audit ID],0)),"")</f>
        <v>HVNL Management Plan</v>
      </c>
      <c r="I48" s="1" t="str">
        <f>IF(J48="","",IFERROR(INDEX(tblOrgs[Client Name],MATCH(J48,tblOrgs[Client ABN],0)),""))</f>
        <v>X-Cel Construction Services Pty Ltd</v>
      </c>
      <c r="J48" s="1">
        <f>IFERROR(INDEX(tblAudits[Client ABN],MATCH(B48,tblAudits[Audit ID],0)),"")</f>
        <v>82168493105</v>
      </c>
      <c r="K48" s="1"/>
    </row>
    <row r="49" spans="1:11" x14ac:dyDescent="0.25">
      <c r="A49" s="1" t="s">
        <v>526</v>
      </c>
      <c r="B49" s="1" t="s">
        <v>14</v>
      </c>
      <c r="C49" s="1" t="s">
        <v>527</v>
      </c>
      <c r="D49" s="1">
        <v>1</v>
      </c>
      <c r="E49" s="1" t="s">
        <v>525</v>
      </c>
      <c r="F49" s="4">
        <v>44160</v>
      </c>
      <c r="G49" s="4">
        <f>IF(F49="","",EDATE(F49,12)-1)</f>
        <v>44524</v>
      </c>
      <c r="H49" s="1" t="str">
        <f>IFERROR(INDEX(tblAudits[Audit Type],MATCH(B49,tblAudits[Audit ID],0)),"")</f>
        <v>HVNL Management Plan</v>
      </c>
      <c r="I49" s="1" t="str">
        <f>IF(J49="","",IFERROR(INDEX(tblOrgs[Client Name],MATCH(J49,tblOrgs[Client ABN],0)),""))</f>
        <v>As you like it Landscaping Pty Ltd</v>
      </c>
      <c r="J49" s="1">
        <f>IFERROR(INDEX(tblAudits[Client ABN],MATCH(B49,tblAudits[Audit ID],0)),"")</f>
        <v>51064081956</v>
      </c>
      <c r="K49" s="1"/>
    </row>
    <row r="50" spans="1:11" x14ac:dyDescent="0.25">
      <c r="A50" s="1" t="s">
        <v>532</v>
      </c>
      <c r="B50" s="1" t="s">
        <v>17</v>
      </c>
      <c r="C50" s="1" t="s">
        <v>533</v>
      </c>
      <c r="D50" s="1">
        <v>1</v>
      </c>
      <c r="E50" s="1" t="s">
        <v>525</v>
      </c>
      <c r="F50" s="4">
        <v>44181</v>
      </c>
      <c r="G50" s="4">
        <f>IF(F50="","",EDATE(F50,12)-1)</f>
        <v>44545</v>
      </c>
      <c r="H50" s="1" t="str">
        <f>IFERROR(INDEX(tblAudits[Audit Type],MATCH(B50,tblAudits[Audit ID],0)),"")</f>
        <v>HVNL Management Plan</v>
      </c>
      <c r="I50" s="1" t="str">
        <f>IF(J50="","",IFERROR(INDEX(tblOrgs[Client Name],MATCH(J50,tblOrgs[Client ABN],0)),""))</f>
        <v>BLASK Pty Ltd</v>
      </c>
      <c r="J50" s="1">
        <f>IFERROR(INDEX(tblAudits[Client ABN],MATCH(B50,tblAudits[Audit ID],0)),"")</f>
        <v>41813267182</v>
      </c>
      <c r="K50" s="1"/>
    </row>
    <row r="51" spans="1:11" x14ac:dyDescent="0.25">
      <c r="A51" s="1" t="s">
        <v>580</v>
      </c>
      <c r="B51" s="1" t="s">
        <v>41</v>
      </c>
      <c r="C51" s="1" t="s">
        <v>581</v>
      </c>
      <c r="D51" s="1">
        <v>1</v>
      </c>
      <c r="E51" s="1" t="s">
        <v>525</v>
      </c>
      <c r="F51" s="4">
        <v>44180</v>
      </c>
      <c r="G51" s="4">
        <f>IF(F51="","",EDATE(F51,12)-1)</f>
        <v>44544</v>
      </c>
      <c r="H51" s="1" t="str">
        <f>IFERROR(INDEX(tblAudits[Audit Type],MATCH(B51,tblAudits[Audit ID],0)),"")</f>
        <v>HVNL Management Plan</v>
      </c>
      <c r="I51" s="1" t="str">
        <f>IF(J51="","",IFERROR(INDEX(tblOrgs[Client Name],MATCH(J51,tblOrgs[Client ABN],0)),""))</f>
        <v>McMahon Services Australia Pty Ltd</v>
      </c>
      <c r="J51" s="1">
        <f>IFERROR(INDEX(tblAudits[Client ABN],MATCH(B51,tblAudits[Audit ID],0)),"")</f>
        <v>75097072565</v>
      </c>
      <c r="K51" s="1"/>
    </row>
    <row r="52" spans="1:11" x14ac:dyDescent="0.25">
      <c r="A52" s="1" t="s">
        <v>554</v>
      </c>
      <c r="B52" s="1" t="s">
        <v>28</v>
      </c>
      <c r="C52" s="1" t="s">
        <v>555</v>
      </c>
      <c r="D52" s="1">
        <v>1</v>
      </c>
      <c r="E52" s="1" t="s">
        <v>525</v>
      </c>
      <c r="F52" s="4">
        <v>44188</v>
      </c>
      <c r="G52" s="4">
        <f>IF(F52="","",EDATE(F52,12)-1)</f>
        <v>44552</v>
      </c>
      <c r="H52" s="1" t="str">
        <f>IFERROR(INDEX(tblAudits[Audit Type],MATCH(B52,tblAudits[Audit ID],0)),"")</f>
        <v>HVNL Management Plan</v>
      </c>
      <c r="I52" s="1" t="str">
        <f>IF(J52="","",IFERROR(INDEX(tblOrgs[Client Name],MATCH(J52,tblOrgs[Client ABN],0)),""))</f>
        <v>Eire Midland Constructions Pty Ltd</v>
      </c>
      <c r="J52" s="1">
        <f>IFERROR(INDEX(tblAudits[Client ABN],MATCH(B52,tblAudits[Audit ID],0)),"")</f>
        <v>45079929687</v>
      </c>
      <c r="K52" s="1"/>
    </row>
    <row r="53" spans="1:11" x14ac:dyDescent="0.25">
      <c r="A53" s="1" t="s">
        <v>742</v>
      </c>
      <c r="B53" s="1" t="s">
        <v>123</v>
      </c>
      <c r="C53" s="1" t="s">
        <v>743</v>
      </c>
      <c r="D53" s="1">
        <v>1</v>
      </c>
      <c r="E53" s="1" t="s">
        <v>525</v>
      </c>
      <c r="F53" s="4">
        <v>44203</v>
      </c>
      <c r="G53" s="4">
        <f>IF(F53="","",EDATE(F53,12)-1)</f>
        <v>44567</v>
      </c>
      <c r="H53" s="1" t="str">
        <f>IFERROR(INDEX(tblAudits[Audit Type],MATCH(B53,tblAudits[Audit ID],0)),"")</f>
        <v>HVNL Management Plan</v>
      </c>
      <c r="I53" s="1" t="str">
        <f>IF(J53="","",IFERROR(INDEX(tblOrgs[Client Name],MATCH(J53,tblOrgs[Client ABN],0)),""))</f>
        <v>Precast Concrete Solutions Pty Ltd</v>
      </c>
      <c r="J53" s="1">
        <f>IFERROR(INDEX(tblAudits[Client ABN],MATCH(B53,tblAudits[Audit ID],0)),"")</f>
        <v>90096370357</v>
      </c>
      <c r="K53" s="1"/>
    </row>
    <row r="54" spans="1:11" x14ac:dyDescent="0.25">
      <c r="A54" s="1" t="s">
        <v>634</v>
      </c>
      <c r="B54" s="1" t="s">
        <v>69</v>
      </c>
      <c r="C54" s="1" t="s">
        <v>635</v>
      </c>
      <c r="D54" s="1">
        <v>1</v>
      </c>
      <c r="E54" s="1" t="s">
        <v>525</v>
      </c>
      <c r="F54" s="4">
        <v>44207</v>
      </c>
      <c r="G54" s="4">
        <f>IF(F54="","",EDATE(F54,12)-1)</f>
        <v>44571</v>
      </c>
      <c r="H54" s="1" t="str">
        <f>IFERROR(INDEX(tblAudits[Audit Type],MATCH(B54,tblAudits[Audit ID],0)),"")</f>
        <v>HVNL Management Plan</v>
      </c>
      <c r="I54" s="1" t="str">
        <f>IF(J54="","",IFERROR(INDEX(tblOrgs[Client Name],MATCH(J54,tblOrgs[Client ABN],0)),""))</f>
        <v>Advanced Weather Proofing Pty Ltd</v>
      </c>
      <c r="J54" s="1">
        <f>IFERROR(INDEX(tblAudits[Client ABN],MATCH(B54,tblAudits[Audit ID],0)),"")</f>
        <v>44113903772</v>
      </c>
      <c r="K54" s="1"/>
    </row>
    <row r="55" spans="1:11" x14ac:dyDescent="0.25">
      <c r="A55" s="1" t="s">
        <v>790</v>
      </c>
      <c r="B55" s="1" t="s">
        <v>147</v>
      </c>
      <c r="C55" s="1" t="s">
        <v>791</v>
      </c>
      <c r="D55" s="1">
        <v>1</v>
      </c>
      <c r="E55" s="1" t="s">
        <v>525</v>
      </c>
      <c r="F55" s="4">
        <v>44208</v>
      </c>
      <c r="G55" s="4">
        <f>IF(F55="","",EDATE(F55,12)-1)</f>
        <v>44572</v>
      </c>
      <c r="H55" s="1" t="str">
        <f>IFERROR(INDEX(tblAudits[Audit Type],MATCH(B55,tblAudits[Audit ID],0)),"")</f>
        <v>HVNL Management Plan</v>
      </c>
      <c r="I55" s="1" t="str">
        <f>IF(J55="","",IFERROR(INDEX(tblOrgs[Client Name],MATCH(J55,tblOrgs[Client ABN],0)),""))</f>
        <v>Wessel Drilling Pty Ltd</v>
      </c>
      <c r="J55" s="1">
        <f>IFERROR(INDEX(tblAudits[Client ABN],MATCH(B55,tblAudits[Audit ID],0)),"")</f>
        <v>88604544023</v>
      </c>
      <c r="K55" s="1"/>
    </row>
    <row r="56" spans="1:11" x14ac:dyDescent="0.25">
      <c r="A56" s="1" t="s">
        <v>734</v>
      </c>
      <c r="B56" s="1" t="s">
        <v>119</v>
      </c>
      <c r="C56" s="1" t="s">
        <v>735</v>
      </c>
      <c r="D56" s="1">
        <v>1</v>
      </c>
      <c r="E56" s="1" t="s">
        <v>525</v>
      </c>
      <c r="F56" s="4">
        <v>44215</v>
      </c>
      <c r="G56" s="4">
        <f>IF(F56="","",EDATE(F56,12)-1)</f>
        <v>44579</v>
      </c>
      <c r="H56" s="1" t="str">
        <f>IFERROR(INDEX(tblAudits[Audit Type],MATCH(B56,tblAudits[Audit ID],0)),"")</f>
        <v>HVNL Management Plan</v>
      </c>
      <c r="I56" s="1" t="str">
        <f>IF(J56="","",IFERROR(INDEX(tblOrgs[Client Name],MATCH(J56,tblOrgs[Client ABN],0)),""))</f>
        <v>Moore Construction Services Pty Ltd</v>
      </c>
      <c r="J56" s="1">
        <f>IFERROR(INDEX(tblAudits[Client ABN],MATCH(B56,tblAudits[Audit ID],0)),"")</f>
        <v>15641290376</v>
      </c>
      <c r="K56" s="1"/>
    </row>
    <row r="57" spans="1:11" x14ac:dyDescent="0.25">
      <c r="A57" s="1" t="s">
        <v>752</v>
      </c>
      <c r="B57" s="1" t="s">
        <v>128</v>
      </c>
      <c r="C57" s="1" t="s">
        <v>753</v>
      </c>
      <c r="D57" s="1">
        <v>1</v>
      </c>
      <c r="E57" s="1" t="s">
        <v>525</v>
      </c>
      <c r="F57" s="4">
        <v>44220</v>
      </c>
      <c r="G57" s="4">
        <f>IF(F57="","",EDATE(F57,12)-1)</f>
        <v>44584</v>
      </c>
      <c r="H57" s="1" t="str">
        <f>IFERROR(INDEX(tblAudits[Audit Type],MATCH(B57,tblAudits[Audit ID],0)),"")</f>
        <v>HVNL Management Plan</v>
      </c>
      <c r="I57" s="1" t="str">
        <f>IF(J57="","",IFERROR(INDEX(tblOrgs[Client Name],MATCH(J57,tblOrgs[Client ABN],0)),""))</f>
        <v>Rail Control Systems Australia Pty Ltd</v>
      </c>
      <c r="J57" s="1">
        <f>IFERROR(INDEX(tblAudits[Client ABN],MATCH(B57,tblAudits[Audit ID],0)),"")</f>
        <v>42137934055</v>
      </c>
      <c r="K57" s="1"/>
    </row>
    <row r="58" spans="1:11" x14ac:dyDescent="0.25">
      <c r="A58" s="1" t="s">
        <v>754</v>
      </c>
      <c r="B58" s="1" t="s">
        <v>129</v>
      </c>
      <c r="C58" s="1" t="s">
        <v>755</v>
      </c>
      <c r="D58" s="1">
        <v>1</v>
      </c>
      <c r="E58" s="1" t="s">
        <v>525</v>
      </c>
      <c r="F58" s="4">
        <v>44220</v>
      </c>
      <c r="G58" s="4">
        <f>IF(F58="","",EDATE(F58,12)-1)</f>
        <v>44584</v>
      </c>
      <c r="H58" s="1" t="str">
        <f>IFERROR(INDEX(tblAudits[Audit Type],MATCH(B58,tblAudits[Audit ID],0)),"")</f>
        <v>HVNL Management Plan</v>
      </c>
      <c r="I58" s="1" t="str">
        <f>IF(J58="","",IFERROR(INDEX(tblOrgs[Client Name],MATCH(J58,tblOrgs[Client ABN],0)),""))</f>
        <v>Refire Group Pty Ltd</v>
      </c>
      <c r="J58" s="1">
        <f>IFERROR(INDEX(tblAudits[Client ABN],MATCH(B58,tblAudits[Audit ID],0)),"")</f>
        <v>72633993218</v>
      </c>
      <c r="K58" s="1"/>
    </row>
    <row r="59" spans="1:11" x14ac:dyDescent="0.25">
      <c r="A59" s="1" t="s">
        <v>758</v>
      </c>
      <c r="B59" s="1" t="s">
        <v>131</v>
      </c>
      <c r="C59" s="1" t="s">
        <v>759</v>
      </c>
      <c r="D59" s="1">
        <v>1</v>
      </c>
      <c r="E59" s="1" t="s">
        <v>525</v>
      </c>
      <c r="F59" s="4">
        <v>44220</v>
      </c>
      <c r="G59" s="4">
        <f>IF(F59="","",EDATE(F59,12)-1)</f>
        <v>44584</v>
      </c>
      <c r="H59" s="1" t="str">
        <f>IFERROR(INDEX(tblAudits[Audit Type],MATCH(B59,tblAudits[Audit ID],0)),"")</f>
        <v>HVNL Management Plan</v>
      </c>
      <c r="I59" s="1" t="str">
        <f>IF(J59="","",IFERROR(INDEX(tblOrgs[Client Name],MATCH(J59,tblOrgs[Client ABN],0)),""))</f>
        <v>Robar Civil Pty Ltd</v>
      </c>
      <c r="J59" s="1">
        <f>IFERROR(INDEX(tblAudits[Client ABN],MATCH(B59,tblAudits[Audit ID],0)),"")</f>
        <v>47602908092</v>
      </c>
      <c r="K59" s="1"/>
    </row>
    <row r="60" spans="1:11" x14ac:dyDescent="0.25">
      <c r="A60" s="1" t="s">
        <v>786</v>
      </c>
      <c r="B60" s="1" t="s">
        <v>145</v>
      </c>
      <c r="C60" s="1" t="s">
        <v>787</v>
      </c>
      <c r="D60" s="1">
        <v>1</v>
      </c>
      <c r="E60" s="1" t="s">
        <v>525</v>
      </c>
      <c r="F60" s="4">
        <v>44224</v>
      </c>
      <c r="G60" s="4">
        <f>IF(F60="","",EDATE(F60,12)-1)</f>
        <v>44588</v>
      </c>
      <c r="H60" s="1" t="str">
        <f>IFERROR(INDEX(tblAudits[Audit Type],MATCH(B60,tblAudits[Audit ID],0)),"")</f>
        <v>HVNL Management Plan</v>
      </c>
      <c r="I60" s="1" t="str">
        <f>IF(J60="","",IFERROR(INDEX(tblOrgs[Client Name],MATCH(J60,tblOrgs[Client ABN],0)),""))</f>
        <v>W J &amp; M Allendorf</v>
      </c>
      <c r="J60" s="1">
        <f>IFERROR(INDEX(tblAudits[Client ABN],MATCH(B60,tblAudits[Audit ID],0)),"")</f>
        <v>58159730174</v>
      </c>
      <c r="K60" s="1"/>
    </row>
    <row r="61" spans="1:11" x14ac:dyDescent="0.25">
      <c r="A61" s="1" t="s">
        <v>670</v>
      </c>
      <c r="B61" s="1" t="s">
        <v>87</v>
      </c>
      <c r="C61" s="1" t="s">
        <v>671</v>
      </c>
      <c r="D61" s="1">
        <v>1</v>
      </c>
      <c r="E61" s="1" t="s">
        <v>525</v>
      </c>
      <c r="F61" s="4">
        <v>44231</v>
      </c>
      <c r="G61" s="4">
        <f>IF(F61="","",EDATE(F61,12)-1)</f>
        <v>44595</v>
      </c>
      <c r="H61" s="1" t="str">
        <f>IFERROR(INDEX(tblAudits[Audit Type],MATCH(B61,tblAudits[Audit ID],0)),"")</f>
        <v>HVNL Management Plan</v>
      </c>
      <c r="I61" s="1" t="str">
        <f>IF(J61="","",IFERROR(INDEX(tblOrgs[Client Name],MATCH(J61,tblOrgs[Client ABN],0)),""))</f>
        <v>Diverse Solutions Group Pty Ltd</v>
      </c>
      <c r="J61" s="1">
        <f>IFERROR(INDEX(tblAudits[Client ABN],MATCH(B61,tblAudits[Audit ID],0)),"")</f>
        <v>66104162352</v>
      </c>
      <c r="K61" s="1"/>
    </row>
    <row r="62" spans="1:11" x14ac:dyDescent="0.25">
      <c r="A62" s="1" t="s">
        <v>772</v>
      </c>
      <c r="B62" s="1" t="s">
        <v>138</v>
      </c>
      <c r="C62" s="1" t="s">
        <v>773</v>
      </c>
      <c r="D62" s="1">
        <v>1</v>
      </c>
      <c r="E62" s="1" t="s">
        <v>525</v>
      </c>
      <c r="F62" s="4">
        <v>44234</v>
      </c>
      <c r="G62" s="4">
        <f>IF(F62="","",EDATE(F62,12)-1)</f>
        <v>44598</v>
      </c>
      <c r="H62" s="1" t="str">
        <f>IFERROR(INDEX(tblAudits[Audit Type],MATCH(B62,tblAudits[Audit ID],0)),"")</f>
        <v>HVNL Management Plan</v>
      </c>
      <c r="I62" s="1" t="str">
        <f>IF(J62="","",IFERROR(INDEX(tblOrgs[Client Name],MATCH(J62,tblOrgs[Client ABN],0)),""))</f>
        <v>Tallai Project Group Pty Ltd</v>
      </c>
      <c r="J62" s="1">
        <f>IFERROR(INDEX(tblAudits[Client ABN],MATCH(B62,tblAudits[Audit ID],0)),"")</f>
        <v>59618362584</v>
      </c>
      <c r="K62" s="1"/>
    </row>
    <row r="63" spans="1:11" x14ac:dyDescent="0.25">
      <c r="A63" s="1" t="s">
        <v>658</v>
      </c>
      <c r="B63" s="1" t="s">
        <v>81</v>
      </c>
      <c r="C63" s="1" t="s">
        <v>659</v>
      </c>
      <c r="D63" s="1">
        <v>1</v>
      </c>
      <c r="E63" s="1" t="s">
        <v>525</v>
      </c>
      <c r="F63" s="4">
        <v>44237</v>
      </c>
      <c r="G63" s="4">
        <f>IF(F63="","",EDATE(F63,12)-1)</f>
        <v>44601</v>
      </c>
      <c r="H63" s="1" t="str">
        <f>IFERROR(INDEX(tblAudits[Audit Type],MATCH(B63,tblAudits[Audit ID],0)),"")</f>
        <v>HVNL Management Plan</v>
      </c>
      <c r="I63" s="1" t="str">
        <f>IF(J63="","",IFERROR(INDEX(tblOrgs[Client Name],MATCH(J63,tblOrgs[Client ABN],0)),""))</f>
        <v>Chess Engineering Pty Ltd</v>
      </c>
      <c r="J63" s="1">
        <f>IFERROR(INDEX(tblAudits[Client ABN],MATCH(B63,tblAudits[Audit ID],0)),"")</f>
        <v>37000615056</v>
      </c>
      <c r="K63" s="1"/>
    </row>
    <row r="64" spans="1:11" x14ac:dyDescent="0.25">
      <c r="A64" s="1" t="s">
        <v>692</v>
      </c>
      <c r="B64" s="1" t="s">
        <v>98</v>
      </c>
      <c r="C64" s="1" t="s">
        <v>693</v>
      </c>
      <c r="D64" s="1">
        <v>1</v>
      </c>
      <c r="E64" s="1" t="s">
        <v>525</v>
      </c>
      <c r="F64" s="4">
        <v>44253</v>
      </c>
      <c r="G64" s="4">
        <f>IF(F64="","",EDATE(F64,12)-1)</f>
        <v>44617</v>
      </c>
      <c r="H64" s="1" t="str">
        <f>IFERROR(INDEX(tblAudits[Audit Type],MATCH(B64,tblAudits[Audit ID],0)),"")</f>
        <v>HVNL Management Plan</v>
      </c>
      <c r="I64" s="1" t="str">
        <f>IF(J64="","",IFERROR(INDEX(tblOrgs[Client Name],MATCH(J64,tblOrgs[Client ABN],0)),""))</f>
        <v>Fugen Masonry Contractors (Qld) Pty Limited</v>
      </c>
      <c r="J64" s="1">
        <f>IFERROR(INDEX(tblAudits[Client ABN],MATCH(B64,tblAudits[Audit ID],0)),"")</f>
        <v>75097686130</v>
      </c>
      <c r="K64" s="1"/>
    </row>
    <row r="65" spans="1:11" x14ac:dyDescent="0.25">
      <c r="A65" s="1" t="s">
        <v>656</v>
      </c>
      <c r="B65" s="1" t="s">
        <v>80</v>
      </c>
      <c r="C65" s="1" t="s">
        <v>657</v>
      </c>
      <c r="D65" s="1">
        <v>1</v>
      </c>
      <c r="E65" s="1" t="s">
        <v>525</v>
      </c>
      <c r="F65" s="4">
        <v>44263</v>
      </c>
      <c r="G65" s="4">
        <f>IF(F65="","",EDATE(F65,12)-1)</f>
        <v>44627</v>
      </c>
      <c r="H65" s="1" t="str">
        <f>IFERROR(INDEX(tblAudits[Audit Type],MATCH(B65,tblAudits[Audit ID],0)),"")</f>
        <v>HVNL Management Plan</v>
      </c>
      <c r="I65" s="1" t="str">
        <f>IF(J65="","",IFERROR(INDEX(tblOrgs[Client Name],MATCH(J65,tblOrgs[Client ABN],0)),""))</f>
        <v>CDC Investment Group Pty Ltd</v>
      </c>
      <c r="J65" s="1">
        <f>IFERROR(INDEX(tblAudits[Client ABN],MATCH(B65,tblAudits[Audit ID],0)),"")</f>
        <v>11158707629</v>
      </c>
      <c r="K65" s="1"/>
    </row>
    <row r="66" spans="1:11" x14ac:dyDescent="0.25">
      <c r="A66" s="1" t="s">
        <v>682</v>
      </c>
      <c r="B66" s="1" t="s">
        <v>93</v>
      </c>
      <c r="C66" s="1" t="s">
        <v>683</v>
      </c>
      <c r="D66" s="1">
        <v>1</v>
      </c>
      <c r="E66" s="1" t="s">
        <v>525</v>
      </c>
      <c r="F66" s="4">
        <v>44272</v>
      </c>
      <c r="G66" s="4">
        <f>IF(F66="","",EDATE(F66,12)-1)</f>
        <v>44636</v>
      </c>
      <c r="H66" s="1" t="str">
        <f>IFERROR(INDEX(tblAudits[Audit Type],MATCH(B66,tblAudits[Audit ID],0)),"")</f>
        <v>HVNL Management Plan</v>
      </c>
      <c r="I66" s="1" t="str">
        <f>IF(J66="","",IFERROR(INDEX(tblOrgs[Client Name],MATCH(J66,tblOrgs[Client ABN],0)),""))</f>
        <v>EPH Enterprises Pty Ltd</v>
      </c>
      <c r="J66" s="1">
        <f>IFERROR(INDEX(tblAudits[Client ABN],MATCH(B66,tblAudits[Audit ID],0)),"")</f>
        <v>57109822246</v>
      </c>
      <c r="K66" s="1"/>
    </row>
    <row r="67" spans="1:11" x14ac:dyDescent="0.25">
      <c r="A67" s="1" t="s">
        <v>654</v>
      </c>
      <c r="B67" s="1" t="s">
        <v>79</v>
      </c>
      <c r="C67" s="1" t="s">
        <v>655</v>
      </c>
      <c r="D67" s="1">
        <v>1</v>
      </c>
      <c r="E67" s="1" t="s">
        <v>525</v>
      </c>
      <c r="F67" s="4">
        <v>44278</v>
      </c>
      <c r="G67" s="4">
        <f>IF(F67="","",EDATE(F67,12)-1)</f>
        <v>44642</v>
      </c>
      <c r="H67" s="1" t="str">
        <f>IFERROR(INDEX(tblAudits[Audit Type],MATCH(B67,tblAudits[Audit ID],0)),"")</f>
        <v>HVNL Management Plan</v>
      </c>
      <c r="I67" s="1" t="str">
        <f>IF(J67="","",IFERROR(INDEX(tblOrgs[Client Name],MATCH(J67,tblOrgs[Client ABN],0)),""))</f>
        <v>Calbah Industries Pty Ltd</v>
      </c>
      <c r="J67" s="1">
        <f>IFERROR(INDEX(tblAudits[Client ABN],MATCH(B67,tblAudits[Audit ID],0)),"")</f>
        <v>58050275020</v>
      </c>
      <c r="K67" s="1"/>
    </row>
    <row r="68" spans="1:11" x14ac:dyDescent="0.25">
      <c r="A68" s="1" t="s">
        <v>640</v>
      </c>
      <c r="B68" s="1" t="s">
        <v>72</v>
      </c>
      <c r="C68" s="1" t="s">
        <v>641</v>
      </c>
      <c r="D68" s="1">
        <v>1</v>
      </c>
      <c r="E68" s="1" t="s">
        <v>525</v>
      </c>
      <c r="F68" s="4">
        <v>44281</v>
      </c>
      <c r="G68" s="4">
        <f>IF(F68="","",EDATE(F68,12)-1)</f>
        <v>44645</v>
      </c>
      <c r="H68" s="1" t="str">
        <f>IFERROR(INDEX(tblAudits[Audit Type],MATCH(B68,tblAudits[Audit ID],0)),"")</f>
        <v>HVNL Management Plan</v>
      </c>
      <c r="I68" s="1" t="str">
        <f>IF(J68="","",IFERROR(INDEX(tblOrgs[Client Name],MATCH(J68,tblOrgs[Client ABN],0)),""))</f>
        <v>Avopiling Services (NSW) Pty Ltd</v>
      </c>
      <c r="J68" s="1">
        <f>IFERROR(INDEX(tblAudits[Client ABN],MATCH(B68,tblAudits[Audit ID],0)),"")</f>
        <v>11165683349</v>
      </c>
      <c r="K68" s="1"/>
    </row>
    <row r="69" spans="1:11" x14ac:dyDescent="0.25">
      <c r="A69" s="1" t="s">
        <v>728</v>
      </c>
      <c r="B69" s="1" t="s">
        <v>116</v>
      </c>
      <c r="C69" s="1" t="s">
        <v>729</v>
      </c>
      <c r="D69" s="1">
        <v>1</v>
      </c>
      <c r="E69" s="1" t="s">
        <v>525</v>
      </c>
      <c r="F69" s="4">
        <v>44287</v>
      </c>
      <c r="G69" s="4">
        <f>IF(F69="","",EDATE(F69,12)-1)</f>
        <v>44651</v>
      </c>
      <c r="H69" s="1" t="str">
        <f>IFERROR(INDEX(tblAudits[Audit Type],MATCH(B69,tblAudits[Audit ID],0)),"")</f>
        <v>HVNL Management Plan</v>
      </c>
      <c r="I69" s="1" t="str">
        <f>IF(J69="","",IFERROR(INDEX(tblOrgs[Client Name],MATCH(J69,tblOrgs[Client ABN],0)),""))</f>
        <v>Marr Contracting Pty Ltd</v>
      </c>
      <c r="J69" s="1">
        <f>IFERROR(INDEX(tblAudits[Client ABN],MATCH(B69,tblAudits[Audit ID],0)),"")</f>
        <v>72001231607</v>
      </c>
      <c r="K69" s="1"/>
    </row>
    <row r="70" spans="1:11" x14ac:dyDescent="0.25">
      <c r="A70" s="1" t="s">
        <v>770</v>
      </c>
      <c r="B70" s="1" t="s">
        <v>137</v>
      </c>
      <c r="C70" s="1" t="s">
        <v>771</v>
      </c>
      <c r="D70" s="1">
        <v>1</v>
      </c>
      <c r="E70" s="1" t="s">
        <v>525</v>
      </c>
      <c r="F70" s="4">
        <v>44301</v>
      </c>
      <c r="G70" s="4">
        <f>IF(F70="","",EDATE(F70,12)-1)</f>
        <v>44665</v>
      </c>
      <c r="H70" s="1" t="str">
        <f>IFERROR(INDEX(tblAudits[Audit Type],MATCH(B70,tblAudits[Audit ID],0)),"")</f>
        <v>HVNL Management Plan</v>
      </c>
      <c r="I70" s="1" t="str">
        <f>IF(J70="","",IFERROR(INDEX(tblOrgs[Client Name],MATCH(J70,tblOrgs[Client ABN],0)),""))</f>
        <v>T &amp; M Southern Cranes Pty Ltd</v>
      </c>
      <c r="J70" s="1">
        <f>IFERROR(INDEX(tblAudits[Client ABN],MATCH(B70,tblAudits[Audit ID],0)),"")</f>
        <v>99006697338</v>
      </c>
      <c r="K70" s="1"/>
    </row>
    <row r="71" spans="1:11" x14ac:dyDescent="0.25">
      <c r="A71" s="1" t="s">
        <v>724</v>
      </c>
      <c r="B71" s="1" t="s">
        <v>114</v>
      </c>
      <c r="C71" s="1" t="s">
        <v>725</v>
      </c>
      <c r="D71" s="1">
        <v>1</v>
      </c>
      <c r="E71" s="1" t="s">
        <v>525</v>
      </c>
      <c r="F71" s="4">
        <v>44302</v>
      </c>
      <c r="G71" s="4">
        <f>IF(F71="","",EDATE(F71,12)-1)</f>
        <v>44666</v>
      </c>
      <c r="H71" s="1" t="str">
        <f>IFERROR(INDEX(tblAudits[Audit Type],MATCH(B71,tblAudits[Audit ID],0)),"")</f>
        <v>HVNL Management Plan</v>
      </c>
      <c r="I71" s="1" t="str">
        <f>IF(J71="","",IFERROR(INDEX(tblOrgs[Client Name],MATCH(J71,tblOrgs[Client ABN],0)),""))</f>
        <v>Made Contracting Pty Ltd</v>
      </c>
      <c r="J71" s="1">
        <f>IFERROR(INDEX(tblAudits[Client ABN],MATCH(B71,tblAudits[Audit ID],0)),"")</f>
        <v>98082765697</v>
      </c>
      <c r="K71" s="1"/>
    </row>
    <row r="72" spans="1:11" x14ac:dyDescent="0.25">
      <c r="A72" s="1" t="s">
        <v>712</v>
      </c>
      <c r="B72" s="1" t="s">
        <v>108</v>
      </c>
      <c r="C72" s="1" t="s">
        <v>713</v>
      </c>
      <c r="D72" s="1">
        <v>1</v>
      </c>
      <c r="E72" s="1" t="s">
        <v>525</v>
      </c>
      <c r="F72" s="4">
        <v>44309</v>
      </c>
      <c r="G72" s="4">
        <f>IF(F72="","",EDATE(F72,12)-1)</f>
        <v>44673</v>
      </c>
      <c r="H72" s="1" t="str">
        <f>IFERROR(INDEX(tblAudits[Audit Type],MATCH(B72,tblAudits[Audit ID],0)),"")</f>
        <v>HVNL Management Plan</v>
      </c>
      <c r="I72" s="1" t="str">
        <f>IF(J72="","",IFERROR(INDEX(tblOrgs[Client Name],MATCH(J72,tblOrgs[Client ABN],0)),""))</f>
        <v>KCJ Rail Pty Ltd</v>
      </c>
      <c r="J72" s="1">
        <f>IFERROR(INDEX(tblAudits[Client ABN],MATCH(B72,tblAudits[Audit ID],0)),"")</f>
        <v>33624597048</v>
      </c>
      <c r="K72" s="1"/>
    </row>
    <row r="73" spans="1:11" x14ac:dyDescent="0.25">
      <c r="A73" s="1" t="s">
        <v>676</v>
      </c>
      <c r="B73" s="1" t="s">
        <v>90</v>
      </c>
      <c r="C73" s="1" t="s">
        <v>677</v>
      </c>
      <c r="D73" s="1">
        <v>1</v>
      </c>
      <c r="E73" s="1" t="s">
        <v>525</v>
      </c>
      <c r="F73" s="4">
        <v>44309</v>
      </c>
      <c r="G73" s="4">
        <f>IF(F73="","",EDATE(F73,12)-1)</f>
        <v>44673</v>
      </c>
      <c r="H73" s="1" t="str">
        <f>IFERROR(INDEX(tblAudits[Audit Type],MATCH(B73,tblAudits[Audit ID],0)),"")</f>
        <v>HVNL Management Plan</v>
      </c>
      <c r="I73" s="1" t="str">
        <f>IF(J73="","",IFERROR(INDEX(tblOrgs[Client Name],MATCH(J73,tblOrgs[Client ABN],0)),""))</f>
        <v>Egans Plant Hire Pty Ltd</v>
      </c>
      <c r="J73" s="1">
        <f>IFERROR(INDEX(tblAudits[Client ABN],MATCH(B73,tblAudits[Audit ID],0)),"")</f>
        <v>50077737396</v>
      </c>
      <c r="K73" s="1"/>
    </row>
    <row r="74" spans="1:11" x14ac:dyDescent="0.25">
      <c r="A74" s="1" t="s">
        <v>680</v>
      </c>
      <c r="B74" s="1" t="s">
        <v>92</v>
      </c>
      <c r="C74" s="1" t="s">
        <v>681</v>
      </c>
      <c r="D74" s="1">
        <v>1</v>
      </c>
      <c r="E74" s="1" t="s">
        <v>525</v>
      </c>
      <c r="F74" s="4">
        <v>44309</v>
      </c>
      <c r="G74" s="4">
        <f>IF(F74="","",EDATE(F74,12)-1)</f>
        <v>44673</v>
      </c>
      <c r="H74" s="1" t="str">
        <f>IFERROR(INDEX(tblAudits[Audit Type],MATCH(B74,tblAudits[Audit ID],0)),"")</f>
        <v>HVNL Management Plan</v>
      </c>
      <c r="I74" s="1" t="str">
        <f>IF(J74="","",IFERROR(INDEX(tblOrgs[Client Name],MATCH(J74,tblOrgs[Client ABN],0)),""))</f>
        <v>ENCO Precast Pty Ltd</v>
      </c>
      <c r="J74" s="1">
        <f>IFERROR(INDEX(tblAudits[Client ABN],MATCH(B74,tblAudits[Audit ID],0)),"")</f>
        <v>56072772037</v>
      </c>
      <c r="K74" s="1"/>
    </row>
    <row r="75" spans="1:11" x14ac:dyDescent="0.25">
      <c r="A75" s="1" t="s">
        <v>666</v>
      </c>
      <c r="B75" s="1" t="s">
        <v>85</v>
      </c>
      <c r="C75" s="1" t="s">
        <v>667</v>
      </c>
      <c r="D75" s="1">
        <v>1</v>
      </c>
      <c r="E75" s="1" t="s">
        <v>525</v>
      </c>
      <c r="F75" s="4">
        <v>44309</v>
      </c>
      <c r="G75" s="4">
        <f>IF(F75="","",EDATE(F75,12)-1)</f>
        <v>44673</v>
      </c>
      <c r="H75" s="1" t="str">
        <f>IFERROR(INDEX(tblAudits[Audit Type],MATCH(B75,tblAudits[Audit ID],0)),"")</f>
        <v>HVNL Management Plan</v>
      </c>
      <c r="I75" s="1" t="str">
        <f>IF(J75="","",IFERROR(INDEX(tblOrgs[Client Name],MATCH(J75,tblOrgs[Client ABN],0)),""))</f>
        <v>Cubis Systems Australia Pty Ltd</v>
      </c>
      <c r="J75" s="1">
        <f>IFERROR(INDEX(tblAudits[Client ABN],MATCH(B75,tblAudits[Audit ID],0)),"")</f>
        <v>88108718350</v>
      </c>
      <c r="K75" s="1"/>
    </row>
    <row r="76" spans="1:11" x14ac:dyDescent="0.25">
      <c r="A76" s="1" t="s">
        <v>740</v>
      </c>
      <c r="B76" s="1" t="s">
        <v>122</v>
      </c>
      <c r="C76" s="1" t="s">
        <v>741</v>
      </c>
      <c r="D76" s="1">
        <v>1</v>
      </c>
      <c r="E76" s="1" t="s">
        <v>525</v>
      </c>
      <c r="F76" s="4">
        <v>44315</v>
      </c>
      <c r="G76" s="4">
        <f>IF(F76="","",EDATE(F76,12)-1)</f>
        <v>44679</v>
      </c>
      <c r="H76" s="1" t="str">
        <f>IFERROR(INDEX(tblAudits[Audit Type],MATCH(B76,tblAudits[Audit ID],0)),"")</f>
        <v>HVNL Management Plan</v>
      </c>
      <c r="I76" s="1" t="str">
        <f>IF(J76="","",IFERROR(INDEX(tblOrgs[Client Name],MATCH(J76,tblOrgs[Client ABN],0)),""))</f>
        <v>Newnham Trucking Pty Ltd</v>
      </c>
      <c r="J76" s="1">
        <f>IFERROR(INDEX(tblAudits[Client ABN],MATCH(B76,tblAudits[Audit ID],0)),"")</f>
        <v>25100435363</v>
      </c>
      <c r="K76" s="1"/>
    </row>
    <row r="77" spans="1:11" x14ac:dyDescent="0.25">
      <c r="A77" s="1" t="s">
        <v>792</v>
      </c>
      <c r="B77" s="1" t="s">
        <v>148</v>
      </c>
      <c r="C77" s="1" t="s">
        <v>793</v>
      </c>
      <c r="D77" s="1">
        <v>1</v>
      </c>
      <c r="E77" s="1" t="s">
        <v>525</v>
      </c>
      <c r="F77" s="4">
        <v>44327</v>
      </c>
      <c r="G77" s="4">
        <f>IF(F77="","",EDATE(F77,12)-1)</f>
        <v>44691</v>
      </c>
      <c r="H77" s="1" t="str">
        <f>IFERROR(INDEX(tblAudits[Audit Type],MATCH(B77,tblAudits[Audit ID],0)),"")</f>
        <v>HVNL Management Plan</v>
      </c>
      <c r="I77" s="1" t="str">
        <f>IF(J77="","",IFERROR(INDEX(tblOrgs[Client Name],MATCH(J77,tblOrgs[Client ABN],0)),""))</f>
        <v>Westkon Precast Pty Ltd</v>
      </c>
      <c r="J77" s="1">
        <f>IFERROR(INDEX(tblAudits[Client ABN],MATCH(B77,tblAudits[Audit ID],0)),"")</f>
        <v>92107423156</v>
      </c>
      <c r="K77" s="1"/>
    </row>
    <row r="78" spans="1:11" x14ac:dyDescent="0.25">
      <c r="A78" s="1" t="s">
        <v>688</v>
      </c>
      <c r="B78" s="1" t="s">
        <v>96</v>
      </c>
      <c r="C78" s="1" t="s">
        <v>689</v>
      </c>
      <c r="D78" s="1">
        <v>1</v>
      </c>
      <c r="E78" s="1" t="s">
        <v>525</v>
      </c>
      <c r="F78" s="4">
        <v>44327</v>
      </c>
      <c r="G78" s="4">
        <f>IF(F78="","",EDATE(F78,12)-1)</f>
        <v>44691</v>
      </c>
      <c r="H78" s="1" t="str">
        <f>IFERROR(INDEX(tblAudits[Audit Type],MATCH(B78,tblAudits[Audit ID],0)),"")</f>
        <v>HVNL Management Plan</v>
      </c>
      <c r="I78" s="1" t="str">
        <f>IF(J78="","",IFERROR(INDEX(tblOrgs[Client Name],MATCH(J78,tblOrgs[Client ABN],0)),""))</f>
        <v>Foran Civil Pty Ltd</v>
      </c>
      <c r="J78" s="1">
        <f>IFERROR(INDEX(tblAudits[Client ABN],MATCH(B78,tblAudits[Audit ID],0)),"")</f>
        <v>92161261874</v>
      </c>
      <c r="K78" s="1"/>
    </row>
    <row r="79" spans="1:11" x14ac:dyDescent="0.25">
      <c r="A79" s="1" t="s">
        <v>730</v>
      </c>
      <c r="B79" s="1" t="s">
        <v>117</v>
      </c>
      <c r="C79" s="1" t="s">
        <v>731</v>
      </c>
      <c r="D79" s="1">
        <v>1</v>
      </c>
      <c r="E79" s="1" t="s">
        <v>525</v>
      </c>
      <c r="F79" s="4">
        <v>44330</v>
      </c>
      <c r="G79" s="4">
        <f>IF(F79="","",EDATE(F79,12)-1)</f>
        <v>44694</v>
      </c>
      <c r="H79" s="1" t="str">
        <f>IFERROR(INDEX(tblAudits[Audit Type],MATCH(B79,tblAudits[Audit ID],0)),"")</f>
        <v>HVNL Management Plan</v>
      </c>
      <c r="I79" s="1" t="str">
        <f>IF(J79="","",IFERROR(INDEX(tblOrgs[Client Name],MATCH(J79,tblOrgs[Client ABN],0)),""))</f>
        <v>Millennium Plumbing and Drainage Contractors</v>
      </c>
      <c r="J79" s="1">
        <f>IFERROR(INDEX(tblAudits[Client ABN],MATCH(B79,tblAudits[Audit ID],0)),"")</f>
        <v>74935704619</v>
      </c>
      <c r="K79" s="1"/>
    </row>
    <row r="80" spans="1:11" x14ac:dyDescent="0.25">
      <c r="A80" s="1" t="s">
        <v>788</v>
      </c>
      <c r="B80" s="1" t="s">
        <v>146</v>
      </c>
      <c r="C80" s="1" t="s">
        <v>789</v>
      </c>
      <c r="D80" s="1">
        <v>1</v>
      </c>
      <c r="E80" s="1" t="s">
        <v>525</v>
      </c>
      <c r="F80" s="4">
        <v>44343</v>
      </c>
      <c r="G80" s="4">
        <f>IF(F80="","",EDATE(F80,12)-1)</f>
        <v>44707</v>
      </c>
      <c r="H80" s="1" t="str">
        <f>IFERROR(INDEX(tblAudits[Audit Type],MATCH(B80,tblAudits[Audit ID],0)),"")</f>
        <v>HVNL Management Plan</v>
      </c>
      <c r="I80" s="1" t="str">
        <f>IF(J80="","",IFERROR(INDEX(tblOrgs[Client Name],MATCH(J80,tblOrgs[Client ABN],0)),""))</f>
        <v>Warren Kopp Transport Pty Ltd</v>
      </c>
      <c r="J80" s="1">
        <f>IFERROR(INDEX(tblAudits[Client ABN],MATCH(B80,tblAudits[Audit ID],0)),"")</f>
        <v>97612535145</v>
      </c>
      <c r="K80" s="1"/>
    </row>
    <row r="81" spans="1:11" x14ac:dyDescent="0.25">
      <c r="A81" s="1" t="s">
        <v>706</v>
      </c>
      <c r="B81" s="1" t="s">
        <v>105</v>
      </c>
      <c r="C81" s="1" t="s">
        <v>707</v>
      </c>
      <c r="D81" s="1">
        <v>1</v>
      </c>
      <c r="E81" s="1" t="s">
        <v>525</v>
      </c>
      <c r="F81" s="4">
        <v>44357</v>
      </c>
      <c r="G81" s="4">
        <f>IF(F81="","",EDATE(F81,12)-1)</f>
        <v>44721</v>
      </c>
      <c r="H81" s="1" t="str">
        <f>IFERROR(INDEX(tblAudits[Audit Type],MATCH(B81,tblAudits[Audit ID],0)),"")</f>
        <v>HVNL Management Plan</v>
      </c>
      <c r="I81" s="1" t="str">
        <f>IF(J81="","",IFERROR(INDEX(tblOrgs[Client Name],MATCH(J81,tblOrgs[Client ABN],0)),""))</f>
        <v>Holcim (Australia) Pty Ltd</v>
      </c>
      <c r="J81" s="1">
        <f>IFERROR(INDEX(tblAudits[Client ABN],MATCH(B81,tblAudits[Audit ID],0)),"")</f>
        <v>87099732297</v>
      </c>
      <c r="K81" s="1"/>
    </row>
    <row r="82" spans="1:11" x14ac:dyDescent="0.25">
      <c r="A82" s="1" t="s">
        <v>690</v>
      </c>
      <c r="B82" s="1" t="s">
        <v>97</v>
      </c>
      <c r="C82" s="1" t="s">
        <v>691</v>
      </c>
      <c r="D82" s="1">
        <v>1</v>
      </c>
      <c r="E82" s="1" t="s">
        <v>525</v>
      </c>
      <c r="F82" s="4">
        <v>44375</v>
      </c>
      <c r="G82" s="4">
        <f>IF(F82="","",EDATE(F82,12)-1)</f>
        <v>44739</v>
      </c>
      <c r="H82" s="1" t="str">
        <f>IFERROR(INDEX(tblAudits[Audit Type],MATCH(B82,tblAudits[Audit ID],0)),"")</f>
        <v>HVNL Management Plan</v>
      </c>
      <c r="I82" s="1" t="str">
        <f>IF(J82="","",IFERROR(INDEX(tblOrgs[Client Name],MATCH(J82,tblOrgs[Client ABN],0)),""))</f>
        <v>Fresh Start Australia Pty Ltd</v>
      </c>
      <c r="J82" s="1">
        <f>IFERROR(INDEX(tblAudits[Client ABN],MATCH(B82,tblAudits[Audit ID],0)),"")</f>
        <v>77617764011</v>
      </c>
      <c r="K82" s="1"/>
    </row>
    <row r="83" spans="1:11" x14ac:dyDescent="0.25">
      <c r="A83" s="1" t="s">
        <v>766</v>
      </c>
      <c r="B83" s="1" t="s">
        <v>135</v>
      </c>
      <c r="C83" s="1" t="s">
        <v>767</v>
      </c>
      <c r="D83" s="1">
        <v>1</v>
      </c>
      <c r="E83" s="1" t="s">
        <v>525</v>
      </c>
      <c r="F83" s="4">
        <v>44400</v>
      </c>
      <c r="G83" s="4">
        <f>IF(F83="","",EDATE(F83,12)-1)</f>
        <v>44764</v>
      </c>
      <c r="H83" s="1" t="str">
        <f>IFERROR(INDEX(tblAudits[Audit Type],MATCH(B83,tblAudits[Audit ID],0)),"")</f>
        <v>HVNL Management Plan</v>
      </c>
      <c r="I83" s="1" t="str">
        <f>IF(J83="","",IFERROR(INDEX(tblOrgs[Client Name],MATCH(J83,tblOrgs[Client ABN],0)),""))</f>
        <v>STG Pumps Pty Ltd</v>
      </c>
      <c r="J83" s="1">
        <f>IFERROR(INDEX(tblAudits[Client ABN],MATCH(B83,tblAudits[Audit ID],0)),"")</f>
        <v>61602493872</v>
      </c>
      <c r="K83" s="1"/>
    </row>
    <row r="84" spans="1:11" x14ac:dyDescent="0.25">
      <c r="A84" s="1" t="s">
        <v>628</v>
      </c>
      <c r="B84" s="1" t="s">
        <v>66</v>
      </c>
      <c r="C84" s="1" t="s">
        <v>629</v>
      </c>
      <c r="D84" s="1">
        <v>1</v>
      </c>
      <c r="E84" s="1" t="s">
        <v>525</v>
      </c>
      <c r="F84" s="4">
        <v>44361</v>
      </c>
      <c r="G84" s="4">
        <f>IF(F84="","",EDATE(F84,12)-1)</f>
        <v>44725</v>
      </c>
      <c r="H84" s="1" t="str">
        <f>IFERROR(INDEX(tblAudits[Audit Type],MATCH(B84,tblAudits[Audit ID],0)),"")</f>
        <v>HVNL Management Plan</v>
      </c>
      <c r="I84" s="1" t="str">
        <f>IF(J84="","",IFERROR(INDEX(tblOrgs[Client Name],MATCH(J84,tblOrgs[Client ABN],0)),""))</f>
        <v>Abyss Construction Pty Ltd</v>
      </c>
      <c r="J84" s="1">
        <f>IFERROR(INDEX(tblAudits[Client ABN],MATCH(B84,tblAudits[Audit ID],0)),"")</f>
        <v>50614066223</v>
      </c>
      <c r="K84" s="1"/>
    </row>
    <row r="85" spans="1:11" x14ac:dyDescent="0.25">
      <c r="A85" s="1" t="s">
        <v>782</v>
      </c>
      <c r="B85" s="1" t="s">
        <v>143</v>
      </c>
      <c r="C85" s="1" t="s">
        <v>783</v>
      </c>
      <c r="D85" s="1">
        <v>1</v>
      </c>
      <c r="E85" s="1" t="s">
        <v>525</v>
      </c>
      <c r="F85" s="4">
        <v>44364</v>
      </c>
      <c r="G85" s="4">
        <f>IF(F85="","",EDATE(F85,12)-1)</f>
        <v>44728</v>
      </c>
      <c r="H85" s="1" t="str">
        <f>IFERROR(INDEX(tblAudits[Audit Type],MATCH(B85,tblAudits[Audit ID],0)),"")</f>
        <v>HVNL Management Plan</v>
      </c>
      <c r="I85" s="1" t="str">
        <f>IF(J85="","",IFERROR(INDEX(tblOrgs[Client Name],MATCH(J85,tblOrgs[Client ABN],0)),""))</f>
        <v>Universal Cranes (Sunshine Coast) Pty Ltd</v>
      </c>
      <c r="J85" s="1">
        <f>IFERROR(INDEX(tblAudits[Client ABN],MATCH(B85,tblAudits[Audit ID],0)),"")</f>
        <v>31114014667</v>
      </c>
      <c r="K85" s="1"/>
    </row>
    <row r="86" spans="1:11" x14ac:dyDescent="0.25">
      <c r="A86" s="1" t="s">
        <v>736</v>
      </c>
      <c r="B86" s="1" t="s">
        <v>120</v>
      </c>
      <c r="C86" s="1" t="s">
        <v>737</v>
      </c>
      <c r="D86" s="1">
        <v>1</v>
      </c>
      <c r="E86" s="1" t="s">
        <v>525</v>
      </c>
      <c r="F86" s="4">
        <v>44364</v>
      </c>
      <c r="G86" s="4">
        <f>IF(F86="","",EDATE(F86,12)-1)</f>
        <v>44728</v>
      </c>
      <c r="H86" s="1" t="str">
        <f>IFERROR(INDEX(tblAudits[Audit Type],MATCH(B86,tblAudits[Audit ID],0)),"")</f>
        <v>HVNL Management Plan</v>
      </c>
      <c r="I86" s="1" t="str">
        <f>IF(J86="","",IFERROR(INDEX(tblOrgs[Client Name],MATCH(J86,tblOrgs[Client ABN],0)),""))</f>
        <v>Nasi Pty Ltd</v>
      </c>
      <c r="J86" s="1">
        <f>IFERROR(INDEX(tblAudits[Client ABN],MATCH(B86,tblAudits[Audit ID],0)),"")</f>
        <v>41609980726</v>
      </c>
      <c r="K86" s="1"/>
    </row>
    <row r="87" spans="1:11" x14ac:dyDescent="0.25">
      <c r="A87" s="1" t="s">
        <v>768</v>
      </c>
      <c r="B87" s="1" t="s">
        <v>136</v>
      </c>
      <c r="C87" s="1" t="s">
        <v>769</v>
      </c>
      <c r="D87" s="1">
        <v>1</v>
      </c>
      <c r="E87" s="1" t="s">
        <v>525</v>
      </c>
      <c r="F87" s="4">
        <v>44375</v>
      </c>
      <c r="G87" s="4">
        <f>IF(F87="","",EDATE(F87,12)-1)</f>
        <v>44739</v>
      </c>
      <c r="H87" s="1" t="str">
        <f>IFERROR(INDEX(tblAudits[Audit Type],MATCH(B87,tblAudits[Audit ID],0)),"")</f>
        <v>HVNL Management Plan</v>
      </c>
      <c r="I87" s="1" t="str">
        <f>IF(J87="","",IFERROR(INDEX(tblOrgs[Client Name],MATCH(J87,tblOrgs[Client ABN],0)),""))</f>
        <v>T &amp; C Plumbing Services NSW Pty Ltd</v>
      </c>
      <c r="J87" s="1">
        <f>IFERROR(INDEX(tblAudits[Client ABN],MATCH(B87,tblAudits[Audit ID],0)),"")</f>
        <v>38628981617</v>
      </c>
      <c r="K87" s="1"/>
    </row>
    <row r="88" spans="1:11" x14ac:dyDescent="0.25">
      <c r="A88" s="1" t="s">
        <v>648</v>
      </c>
      <c r="B88" s="1" t="s">
        <v>76</v>
      </c>
      <c r="C88" s="1" t="s">
        <v>649</v>
      </c>
      <c r="D88" s="1">
        <v>1</v>
      </c>
      <c r="E88" s="1" t="s">
        <v>525</v>
      </c>
      <c r="F88" s="4">
        <v>44390</v>
      </c>
      <c r="G88" s="4">
        <f>IF(F88="","",EDATE(F88,12)-1)</f>
        <v>44754</v>
      </c>
      <c r="H88" s="1" t="str">
        <f>IFERROR(INDEX(tblAudits[Audit Type],MATCH(B88,tblAudits[Audit ID],0)),"")</f>
        <v>HVNL Management Plan</v>
      </c>
      <c r="I88" s="1" t="str">
        <f>IF(J88="","",IFERROR(INDEX(tblOrgs[Client Name],MATCH(J88,tblOrgs[Client ABN],0)),""))</f>
        <v>Brent Young Cranes Pty Ltd</v>
      </c>
      <c r="J88" s="1">
        <f>IFERROR(INDEX(tblAudits[Client ABN],MATCH(B88,tblAudits[Audit ID],0)),"")</f>
        <v>74795954655</v>
      </c>
      <c r="K88" s="1"/>
    </row>
    <row r="89" spans="1:11" x14ac:dyDescent="0.25">
      <c r="A89" s="1" t="s">
        <v>642</v>
      </c>
      <c r="B89" s="1" t="s">
        <v>73</v>
      </c>
      <c r="C89" s="1" t="s">
        <v>643</v>
      </c>
      <c r="D89" s="1">
        <v>1</v>
      </c>
      <c r="E89" s="1" t="s">
        <v>525</v>
      </c>
      <c r="F89" s="4">
        <v>44377</v>
      </c>
      <c r="G89" s="4">
        <f>IF(F89="","",EDATE(F89,12)-1)</f>
        <v>44741</v>
      </c>
      <c r="H89" s="1" t="str">
        <f>IFERROR(INDEX(tblAudits[Audit Type],MATCH(B89,tblAudits[Audit ID],0)),"")</f>
        <v>HVNL Management Plan</v>
      </c>
      <c r="I89" s="1" t="str">
        <f>IF(J89="","",IFERROR(INDEX(tblOrgs[Client Name],MATCH(J89,tblOrgs[Client ABN],0)),""))</f>
        <v>Barlina Pty Ltd</v>
      </c>
      <c r="J89" s="1">
        <f>IFERROR(INDEX(tblAudits[Client ABN],MATCH(B89,tblAudits[Audit ID],0)),"")</f>
        <v>40078243526</v>
      </c>
      <c r="K89" s="1"/>
    </row>
    <row r="90" spans="1:11" x14ac:dyDescent="0.25">
      <c r="A90" s="1" t="s">
        <v>776</v>
      </c>
      <c r="B90" s="1" t="s">
        <v>140</v>
      </c>
      <c r="C90" s="1" t="s">
        <v>777</v>
      </c>
      <c r="D90" s="1">
        <v>1</v>
      </c>
      <c r="E90" s="1" t="s">
        <v>525</v>
      </c>
      <c r="F90" s="4">
        <v>44379</v>
      </c>
      <c r="G90" s="4">
        <f>IF(F90="","",EDATE(F90,12)-1)</f>
        <v>44743</v>
      </c>
      <c r="H90" s="1" t="str">
        <f>IFERROR(INDEX(tblAudits[Audit Type],MATCH(B90,tblAudits[Audit ID],0)),"")</f>
        <v>HVNL Management Plan</v>
      </c>
      <c r="I90" s="1" t="str">
        <f>IF(J90="","",IFERROR(INDEX(tblOrgs[Client Name],MATCH(J90,tblOrgs[Client ABN],0)),""))</f>
        <v>Thomas Kingsley Resources Pty Ltd</v>
      </c>
      <c r="J90" s="1">
        <f>IFERROR(INDEX(tblAudits[Client ABN],MATCH(B90,tblAudits[Audit ID],0)),"")</f>
        <v>44147169748</v>
      </c>
      <c r="K90" s="1"/>
    </row>
    <row r="91" spans="1:11" x14ac:dyDescent="0.25">
      <c r="A91" s="1" t="s">
        <v>746</v>
      </c>
      <c r="B91" s="1" t="s">
        <v>125</v>
      </c>
      <c r="C91" s="1" t="s">
        <v>747</v>
      </c>
      <c r="D91" s="1">
        <v>1</v>
      </c>
      <c r="E91" s="1" t="s">
        <v>525</v>
      </c>
      <c r="F91" s="4">
        <v>44382</v>
      </c>
      <c r="G91" s="4">
        <f>IF(F91="","",EDATE(F91,12)-1)</f>
        <v>44746</v>
      </c>
      <c r="H91" s="1" t="str">
        <f>IFERROR(INDEX(tblAudits[Audit Type],MATCH(B91,tblAudits[Audit ID],0)),"")</f>
        <v>HVNL Management Plan</v>
      </c>
      <c r="I91" s="1" t="str">
        <f>IF(J91="","",IFERROR(INDEX(tblOrgs[Client Name],MATCH(J91,tblOrgs[Client ABN],0)),""))</f>
        <v>Pressure Works Pty Ltd</v>
      </c>
      <c r="J91" s="1">
        <f>IFERROR(INDEX(tblAudits[Client ABN],MATCH(B91,tblAudits[Audit ID],0)),"")</f>
        <v>94365883835</v>
      </c>
      <c r="K91" s="1"/>
    </row>
    <row r="92" spans="1:11" x14ac:dyDescent="0.25">
      <c r="A92" s="1" t="s">
        <v>720</v>
      </c>
      <c r="B92" s="1" t="s">
        <v>112</v>
      </c>
      <c r="C92" s="1" t="s">
        <v>721</v>
      </c>
      <c r="D92" s="1">
        <v>1</v>
      </c>
      <c r="E92" s="1" t="s">
        <v>525</v>
      </c>
      <c r="F92" s="4">
        <v>44382</v>
      </c>
      <c r="G92" s="4">
        <f>IF(F92="","",EDATE(F92,12)-1)</f>
        <v>44746</v>
      </c>
      <c r="H92" s="1" t="str">
        <f>IFERROR(INDEX(tblAudits[Audit Type],MATCH(B92,tblAudits[Audit ID],0)),"")</f>
        <v>HVNL Management Plan</v>
      </c>
      <c r="I92" s="1" t="str">
        <f>IF(J92="","",IFERROR(INDEX(tblOrgs[Client Name],MATCH(J92,tblOrgs[Client ABN],0)),""))</f>
        <v>LJ &amp; LJ Pty Ltd</v>
      </c>
      <c r="J92" s="1">
        <f>IFERROR(INDEX(tblAudits[Client ABN],MATCH(B92,tblAudits[Audit ID],0)),"")</f>
        <v>33612534442</v>
      </c>
      <c r="K92" s="1"/>
    </row>
    <row r="93" spans="1:11" x14ac:dyDescent="0.25">
      <c r="A93" s="1" t="s">
        <v>726</v>
      </c>
      <c r="B93" s="1" t="s">
        <v>115</v>
      </c>
      <c r="C93" s="1" t="s">
        <v>727</v>
      </c>
      <c r="D93" s="1">
        <v>1</v>
      </c>
      <c r="E93" s="1" t="s">
        <v>525</v>
      </c>
      <c r="F93" s="4">
        <v>44386</v>
      </c>
      <c r="G93" s="4">
        <f>IF(F93="","",EDATE(F93,12)-1)</f>
        <v>44750</v>
      </c>
      <c r="H93" s="1" t="str">
        <f>IFERROR(INDEX(tblAudits[Audit Type],MATCH(B93,tblAudits[Audit ID],0)),"")</f>
        <v>HVNL Management Plan</v>
      </c>
      <c r="I93" s="1" t="str">
        <f>IF(J93="","",IFERROR(INDEX(tblOrgs[Client Name],MATCH(J93,tblOrgs[Client ABN],0)),""))</f>
        <v>Mansell Premix Pty Ltd</v>
      </c>
      <c r="J93" s="1">
        <f>IFERROR(INDEX(tblAudits[Client ABN],MATCH(B93,tblAudits[Audit ID],0)),"")</f>
        <v>11124779148</v>
      </c>
      <c r="K93" s="1"/>
    </row>
    <row r="94" spans="1:11" x14ac:dyDescent="0.25">
      <c r="A94" s="1" t="s">
        <v>650</v>
      </c>
      <c r="B94" s="1" t="s">
        <v>77</v>
      </c>
      <c r="C94" s="1" t="s">
        <v>651</v>
      </c>
      <c r="D94" s="1">
        <v>1</v>
      </c>
      <c r="E94" s="1" t="s">
        <v>525</v>
      </c>
      <c r="F94" s="4">
        <v>44390</v>
      </c>
      <c r="G94" s="4">
        <f>IF(F94="","",EDATE(F94,12)-1)</f>
        <v>44754</v>
      </c>
      <c r="H94" s="1" t="str">
        <f>IFERROR(INDEX(tblAudits[Audit Type],MATCH(B94,tblAudits[Audit ID],0)),"")</f>
        <v>HVNL Management Plan</v>
      </c>
      <c r="I94" s="1" t="str">
        <f>IF(J94="","",IFERROR(INDEX(tblOrgs[Client Name],MATCH(J94,tblOrgs[Client ABN],0)),""))</f>
        <v>Bryco Civil Construction Pty Ltd</v>
      </c>
      <c r="J94" s="1">
        <f>IFERROR(INDEX(tblAudits[Client ABN],MATCH(B94,tblAudits[Audit ID],0)),"")</f>
        <v>67642143324</v>
      </c>
      <c r="K94" s="1"/>
    </row>
    <row r="95" spans="1:11" x14ac:dyDescent="0.25">
      <c r="A95" s="1" t="s">
        <v>778</v>
      </c>
      <c r="B95" s="1" t="s">
        <v>141</v>
      </c>
      <c r="C95" s="1" t="s">
        <v>779</v>
      </c>
      <c r="D95" s="1">
        <v>1</v>
      </c>
      <c r="E95" s="1" t="s">
        <v>525</v>
      </c>
      <c r="F95" s="4">
        <v>44396</v>
      </c>
      <c r="G95" s="4">
        <f>IF(F95="","",EDATE(F95,12)-1)</f>
        <v>44760</v>
      </c>
      <c r="H95" s="1" t="str">
        <f>IFERROR(INDEX(tblAudits[Audit Type],MATCH(B95,tblAudits[Audit ID],0)),"")</f>
        <v>HVNL Management Plan</v>
      </c>
      <c r="I95" s="1" t="str">
        <f>IF(J95="","",IFERROR(INDEX(tblOrgs[Client Name],MATCH(J95,tblOrgs[Client ABN],0)),""))</f>
        <v>Trelleborg Perth Pty Ltd</v>
      </c>
      <c r="J95" s="1">
        <f>IFERROR(INDEX(tblAudits[Client ABN],MATCH(B95,tblAudits[Audit ID],0)),"")</f>
        <v>35009674195</v>
      </c>
      <c r="K95" s="1"/>
    </row>
    <row r="96" spans="1:11" x14ac:dyDescent="0.25">
      <c r="A96" s="1" t="s">
        <v>700</v>
      </c>
      <c r="B96" s="1" t="s">
        <v>102</v>
      </c>
      <c r="C96" s="1" t="s">
        <v>701</v>
      </c>
      <c r="D96" s="1">
        <v>1</v>
      </c>
      <c r="E96" s="1" t="s">
        <v>525</v>
      </c>
      <c r="F96" s="4">
        <v>44399</v>
      </c>
      <c r="G96" s="4">
        <f>IF(F96="","",EDATE(F96,12)-1)</f>
        <v>44763</v>
      </c>
      <c r="H96" s="1" t="str">
        <f>IFERROR(INDEX(tblAudits[Audit Type],MATCH(B96,tblAudits[Audit ID],0)),"")</f>
        <v>HVNL Management Plan</v>
      </c>
      <c r="I96" s="1" t="str">
        <f>IF(J96="","",IFERROR(INDEX(tblOrgs[Client Name],MATCH(J96,tblOrgs[Client ABN],0)),""))</f>
        <v>Hiway Stabilizers Australia Pty Ltd</v>
      </c>
      <c r="J96" s="1">
        <f>IFERROR(INDEX(tblAudits[Client ABN],MATCH(B96,tblAudits[Audit ID],0)),"")</f>
        <v>40150650150</v>
      </c>
      <c r="K96" s="1"/>
    </row>
    <row r="97" spans="1:11" x14ac:dyDescent="0.25">
      <c r="A97" s="1" t="s">
        <v>632</v>
      </c>
      <c r="B97" s="1" t="s">
        <v>68</v>
      </c>
      <c r="C97" s="1" t="s">
        <v>633</v>
      </c>
      <c r="D97" s="1">
        <v>1</v>
      </c>
      <c r="E97" s="1" t="s">
        <v>525</v>
      </c>
      <c r="F97" s="4">
        <v>44400</v>
      </c>
      <c r="G97" s="4">
        <f>IF(F97="","",EDATE(F97,12)-1)</f>
        <v>44764</v>
      </c>
      <c r="H97" s="1" t="str">
        <f>IFERROR(INDEX(tblAudits[Audit Type],MATCH(B97,tblAudits[Audit ID],0)),"")</f>
        <v>HVNL Management Plan</v>
      </c>
      <c r="I97" s="1" t="str">
        <f>IF(J97="","",IFERROR(INDEX(tblOrgs[Client Name],MATCH(J97,tblOrgs[Client ABN],0)),""))</f>
        <v>Ace Civil Services Pty Ltd</v>
      </c>
      <c r="J97" s="1">
        <f>IFERROR(INDEX(tblAudits[Client ABN],MATCH(B97,tblAudits[Audit ID],0)),"")</f>
        <v>16131093466</v>
      </c>
      <c r="K97" s="1"/>
    </row>
    <row r="98" spans="1:11" x14ac:dyDescent="0.25">
      <c r="A98" s="1" t="s">
        <v>762</v>
      </c>
      <c r="B98" s="1" t="s">
        <v>133</v>
      </c>
      <c r="C98" s="1" t="s">
        <v>763</v>
      </c>
      <c r="D98" s="1">
        <v>1</v>
      </c>
      <c r="E98" s="1" t="s">
        <v>525</v>
      </c>
      <c r="F98" s="4">
        <v>44402</v>
      </c>
      <c r="G98" s="4">
        <f>IF(F98="","",EDATE(F98,12)-1)</f>
        <v>44766</v>
      </c>
      <c r="H98" s="1" t="str">
        <f>IFERROR(INDEX(tblAudits[Audit Type],MATCH(B98,tblAudits[Audit ID],0)),"")</f>
        <v>HVNL Management Plan</v>
      </c>
      <c r="I98" s="1" t="str">
        <f>IF(J98="","",IFERROR(INDEX(tblOrgs[Client Name],MATCH(J98,tblOrgs[Client ABN],0)),""))</f>
        <v>Shearform Pty Ltd</v>
      </c>
      <c r="J98" s="1">
        <f>IFERROR(INDEX(tblAudits[Client ABN],MATCH(B98,tblAudits[Audit ID],0)),"")</f>
        <v>82099070872</v>
      </c>
      <c r="K98" s="1"/>
    </row>
    <row r="99" spans="1:11" x14ac:dyDescent="0.25">
      <c r="A99" s="1" t="s">
        <v>698</v>
      </c>
      <c r="B99" s="1" t="s">
        <v>101</v>
      </c>
      <c r="C99" s="1" t="s">
        <v>699</v>
      </c>
      <c r="D99" s="1">
        <v>1</v>
      </c>
      <c r="E99" s="1" t="s">
        <v>525</v>
      </c>
      <c r="F99" s="4">
        <v>44392</v>
      </c>
      <c r="G99" s="4">
        <f>IF(F99="","",EDATE(F99,12)-1)</f>
        <v>44756</v>
      </c>
      <c r="H99" s="1" t="str">
        <f>IFERROR(INDEX(tblAudits[Audit Type],MATCH(B99,tblAudits[Audit ID],0)),"")</f>
        <v>HVNL Management Plan</v>
      </c>
      <c r="I99" s="1" t="str">
        <f>IF(J99="","",IFERROR(INDEX(tblOrgs[Client Name],MATCH(J99,tblOrgs[Client ABN],0)),""))</f>
        <v>GVP Fabricators Pty Ltd</v>
      </c>
      <c r="J99" s="1">
        <f>IFERROR(INDEX(tblAudits[Client ABN],MATCH(B99,tblAudits[Audit ID],0)),"")</f>
        <v>59082132394</v>
      </c>
      <c r="K99" s="1"/>
    </row>
    <row r="100" spans="1:11" x14ac:dyDescent="0.25">
      <c r="A100" s="1" t="s">
        <v>638</v>
      </c>
      <c r="B100" s="1" t="s">
        <v>71</v>
      </c>
      <c r="C100" s="1" t="s">
        <v>639</v>
      </c>
      <c r="D100" s="1">
        <v>1</v>
      </c>
      <c r="E100" s="1" t="s">
        <v>525</v>
      </c>
      <c r="F100" s="4">
        <v>44399</v>
      </c>
      <c r="G100" s="4">
        <f>IF(F100="","",EDATE(F100,12)-1)</f>
        <v>44763</v>
      </c>
      <c r="H100" s="1" t="str">
        <f>IFERROR(INDEX(tblAudits[Audit Type],MATCH(B100,tblAudits[Audit ID],0)),"")</f>
        <v>HVNL Management Plan</v>
      </c>
      <c r="I100" s="1" t="str">
        <f>IF(J100="","",IFERROR(INDEX(tblOrgs[Client Name],MATCH(J100,tblOrgs[Client ABN],0)),""))</f>
        <v>Ash (Vic) Pty Ltd</v>
      </c>
      <c r="J100" s="1">
        <f>IFERROR(INDEX(tblAudits[Client ABN],MATCH(B100,tblAudits[Audit ID],0)),"")</f>
        <v>29115372613</v>
      </c>
      <c r="K100" s="1"/>
    </row>
    <row r="101" spans="1:11" x14ac:dyDescent="0.25">
      <c r="A101" s="1" t="s">
        <v>704</v>
      </c>
      <c r="B101" s="1" t="s">
        <v>104</v>
      </c>
      <c r="C101" s="1" t="s">
        <v>705</v>
      </c>
      <c r="D101" s="1">
        <v>1</v>
      </c>
      <c r="E101" s="1" t="s">
        <v>525</v>
      </c>
      <c r="F101" s="4">
        <v>44414</v>
      </c>
      <c r="G101" s="4">
        <f>IF(F101="","",EDATE(F101,12)-1)</f>
        <v>44778</v>
      </c>
      <c r="H101" s="1" t="str">
        <f>IFERROR(INDEX(tblAudits[Audit Type],MATCH(B101,tblAudits[Audit ID],0)),"")</f>
        <v>HVNL Management Plan</v>
      </c>
      <c r="I101" s="1" t="str">
        <f>IF(J101="","",IFERROR(INDEX(tblOrgs[Client Name],MATCH(J101,tblOrgs[Client ABN],0)),""))</f>
        <v>Holcim (Australia) Pty Ltd</v>
      </c>
      <c r="J101" s="1">
        <f>IFERROR(INDEX(tblAudits[Client ABN],MATCH(B101,tblAudits[Audit ID],0)),"")</f>
        <v>87099732297</v>
      </c>
      <c r="K101" s="1"/>
    </row>
    <row r="102" spans="1:11" x14ac:dyDescent="0.25">
      <c r="A102" s="1" t="s">
        <v>702</v>
      </c>
      <c r="B102" s="1" t="s">
        <v>103</v>
      </c>
      <c r="C102" s="1" t="s">
        <v>703</v>
      </c>
      <c r="D102" s="1">
        <v>1</v>
      </c>
      <c r="E102" s="1" t="s">
        <v>525</v>
      </c>
      <c r="F102" s="4">
        <v>44419</v>
      </c>
      <c r="G102" s="4">
        <f>IF(F102="","",EDATE(F102,12)-1)</f>
        <v>44783</v>
      </c>
      <c r="H102" s="1" t="str">
        <f>IFERROR(INDEX(tblAudits[Audit Type],MATCH(B102,tblAudits[Audit ID],0)),"")</f>
        <v>HVNL Management Plan</v>
      </c>
      <c r="I102" s="1" t="str">
        <f>IF(J102="","",IFERROR(INDEX(tblOrgs[Client Name],MATCH(J102,tblOrgs[Client ABN],0)),""))</f>
        <v>HL Landscapes Pty Ltd</v>
      </c>
      <c r="J102" s="1">
        <f>IFERROR(INDEX(tblAudits[Client ABN],MATCH(B102,tblAudits[Audit ID],0)),"")</f>
        <v>92119886734</v>
      </c>
      <c r="K102" s="1"/>
    </row>
    <row r="103" spans="1:11" x14ac:dyDescent="0.25">
      <c r="A103" s="1" t="s">
        <v>696</v>
      </c>
      <c r="B103" s="1" t="s">
        <v>100</v>
      </c>
      <c r="C103" s="1" t="s">
        <v>697</v>
      </c>
      <c r="D103" s="1">
        <v>1</v>
      </c>
      <c r="E103" s="1" t="s">
        <v>525</v>
      </c>
      <c r="F103" s="4">
        <v>44424</v>
      </c>
      <c r="G103" s="4">
        <f>IF(F103="","",EDATE(F103,12)-1)</f>
        <v>44788</v>
      </c>
      <c r="H103" s="1" t="str">
        <f>IFERROR(INDEX(tblAudits[Audit Type],MATCH(B103,tblAudits[Audit ID],0)),"")</f>
        <v>HVNL Management Plan</v>
      </c>
      <c r="I103" s="1" t="str">
        <f>IF(J103="","",IFERROR(INDEX(tblOrgs[Client Name],MATCH(J103,tblOrgs[Client ABN],0)),""))</f>
        <v>Grid Logistics Pty Ltd</v>
      </c>
      <c r="J103" s="1">
        <f>IFERROR(INDEX(tblAudits[Client ABN],MATCH(B103,tblAudits[Audit ID],0)),"")</f>
        <v>44630948739</v>
      </c>
      <c r="K103" s="1"/>
    </row>
    <row r="104" spans="1:11" x14ac:dyDescent="0.25">
      <c r="A104" s="1" t="s">
        <v>668</v>
      </c>
      <c r="B104" s="1" t="s">
        <v>86</v>
      </c>
      <c r="C104" s="1" t="s">
        <v>669</v>
      </c>
      <c r="D104" s="1">
        <v>1</v>
      </c>
      <c r="E104" s="1" t="s">
        <v>525</v>
      </c>
      <c r="F104" s="4">
        <v>44421</v>
      </c>
      <c r="G104" s="4">
        <f>IF(F104="","",EDATE(F104,12)-1)</f>
        <v>44785</v>
      </c>
      <c r="H104" s="1" t="str">
        <f>IFERROR(INDEX(tblAudits[Audit Type],MATCH(B104,tblAudits[Audit ID],0)),"")</f>
        <v>HVNL Management Plan</v>
      </c>
      <c r="I104" s="1" t="str">
        <f>IF(J104="","",IFERROR(INDEX(tblOrgs[Client Name],MATCH(J104,tblOrgs[Client ABN],0)),""))</f>
        <v>Dalyâ€™s Constructions (Aust) Pty Ltd</v>
      </c>
      <c r="J104" s="1">
        <f>IFERROR(INDEX(tblAudits[Client ABN],MATCH(B104,tblAudits[Audit ID],0)),"")</f>
        <v>74091546735</v>
      </c>
      <c r="K104" s="1"/>
    </row>
    <row r="105" spans="1:11" x14ac:dyDescent="0.25">
      <c r="A105" s="1" t="s">
        <v>780</v>
      </c>
      <c r="B105" s="1" t="s">
        <v>142</v>
      </c>
      <c r="C105" s="1" t="s">
        <v>781</v>
      </c>
      <c r="D105" s="1">
        <v>1</v>
      </c>
      <c r="E105" s="1" t="s">
        <v>525</v>
      </c>
      <c r="F105" s="4">
        <v>44424</v>
      </c>
      <c r="G105" s="4">
        <f>IF(F105="","",EDATE(F105,12)-1)</f>
        <v>44788</v>
      </c>
      <c r="H105" s="1" t="str">
        <f>IFERROR(INDEX(tblAudits[Audit Type],MATCH(B105,tblAudits[Audit ID],0)),"")</f>
        <v>HVNL Management Plan</v>
      </c>
      <c r="I105" s="1" t="str">
        <f>IF(J105="","",IFERROR(INDEX(tblOrgs[Client Name],MATCH(J105,tblOrgs[Client ABN],0)),""))</f>
        <v>Tutt Bryant Group Limited</v>
      </c>
      <c r="J105" s="1">
        <f>IFERROR(INDEX(tblAudits[Client ABN],MATCH(B105,tblAudits[Audit ID],0)),"")</f>
        <v>89009242675</v>
      </c>
      <c r="K105" s="1"/>
    </row>
    <row r="106" spans="1:11" x14ac:dyDescent="0.25">
      <c r="A106" s="1" t="s">
        <v>662</v>
      </c>
      <c r="B106" s="1" t="s">
        <v>83</v>
      </c>
      <c r="C106" s="1" t="s">
        <v>663</v>
      </c>
      <c r="D106" s="1">
        <v>1</v>
      </c>
      <c r="E106" s="1" t="s">
        <v>525</v>
      </c>
      <c r="F106" s="4">
        <v>44431</v>
      </c>
      <c r="G106" s="4">
        <f>IF(F106="","",EDATE(F106,12)-1)</f>
        <v>44795</v>
      </c>
      <c r="H106" s="1" t="str">
        <f>IFERROR(INDEX(tblAudits[Audit Type],MATCH(B106,tblAudits[Audit ID],0)),"")</f>
        <v>HVNL Management Plan</v>
      </c>
      <c r="I106" s="1" t="str">
        <f>IF(J106="","",IFERROR(INDEX(tblOrgs[Client Name],MATCH(J106,tblOrgs[Client ABN],0)),""))</f>
        <v>Comfort Sleep Bedding Pty Ltd</v>
      </c>
      <c r="J106" s="1">
        <f>IFERROR(INDEX(tblAudits[Client ABN],MATCH(B106,tblAudits[Audit ID],0)),"")</f>
        <v>52655705114</v>
      </c>
      <c r="K106" s="1"/>
    </row>
    <row r="107" spans="1:11" x14ac:dyDescent="0.25">
      <c r="A107" s="1" t="s">
        <v>710</v>
      </c>
      <c r="B107" s="1" t="s">
        <v>107</v>
      </c>
      <c r="C107" s="1" t="s">
        <v>711</v>
      </c>
      <c r="D107" s="1">
        <v>1</v>
      </c>
      <c r="E107" s="1" t="s">
        <v>525</v>
      </c>
      <c r="F107" s="4">
        <v>44428</v>
      </c>
      <c r="G107" s="4">
        <f>IF(F107="","",EDATE(F107,12)-1)</f>
        <v>44792</v>
      </c>
      <c r="H107" s="1" t="str">
        <f>IFERROR(INDEX(tblAudits[Audit Type],MATCH(B107,tblAudits[Audit ID],0)),"")</f>
        <v>HVNL Management Plan</v>
      </c>
      <c r="I107" s="1" t="str">
        <f>IF(J107="","",IFERROR(INDEX(tblOrgs[Client Name],MATCH(J107,tblOrgs[Client ABN],0)),""))</f>
        <v>Kangaroo Transport &amp; Haulage Pty Ltd</v>
      </c>
      <c r="J107" s="1">
        <f>IFERROR(INDEX(tblAudits[Client ABN],MATCH(B107,tblAudits[Audit ID],0)),"")</f>
        <v>86629168985</v>
      </c>
      <c r="K107" s="1"/>
    </row>
    <row r="108" spans="1:11" x14ac:dyDescent="0.25">
      <c r="A108" s="1" t="s">
        <v>708</v>
      </c>
      <c r="B108" s="1" t="s">
        <v>106</v>
      </c>
      <c r="C108" s="1" t="s">
        <v>709</v>
      </c>
      <c r="D108" s="1">
        <v>1</v>
      </c>
      <c r="E108" s="1" t="s">
        <v>525</v>
      </c>
      <c r="F108" s="4">
        <v>44428</v>
      </c>
      <c r="G108" s="4">
        <f>IF(F108="","",EDATE(F108,12)-1)</f>
        <v>44792</v>
      </c>
      <c r="H108" s="1" t="str">
        <f>IFERROR(INDEX(tblAudits[Audit Type],MATCH(B108,tblAudits[Audit ID],0)),"")</f>
        <v>HVNL Management Plan</v>
      </c>
      <c r="I108" s="1" t="str">
        <f>IF(J108="","",IFERROR(INDEX(tblOrgs[Client Name],MATCH(J108,tblOrgs[Client ABN],0)),""))</f>
        <v>Hyperion Technology Pty Ltd</v>
      </c>
      <c r="J108" s="1">
        <f>IFERROR(INDEX(tblAudits[Client ABN],MATCH(B108,tblAudits[Audit ID],0)),"")</f>
        <v>37629333946</v>
      </c>
      <c r="K108" s="1"/>
    </row>
    <row r="109" spans="1:11" x14ac:dyDescent="0.25">
      <c r="A109" s="1" t="s">
        <v>672</v>
      </c>
      <c r="B109" s="1" t="s">
        <v>88</v>
      </c>
      <c r="C109" s="1" t="s">
        <v>673</v>
      </c>
      <c r="D109" s="1">
        <v>1</v>
      </c>
      <c r="E109" s="1" t="s">
        <v>525</v>
      </c>
      <c r="F109" s="4">
        <v>44438</v>
      </c>
      <c r="G109" s="4">
        <f>IF(F109="","",EDATE(F109,12)-1)</f>
        <v>44802</v>
      </c>
      <c r="H109" s="1" t="str">
        <f>IFERROR(INDEX(tblAudits[Audit Type],MATCH(B109,tblAudits[Audit ID],0)),"")</f>
        <v>HVNL Management Plan</v>
      </c>
      <c r="I109" s="1" t="str">
        <f>IF(J109="","",IFERROR(INDEX(tblOrgs[Client Name],MATCH(J109,tblOrgs[Client ABN],0)),""))</f>
        <v>Durkin Construction Pty Ltd</v>
      </c>
      <c r="J109" s="1">
        <f>IFERROR(INDEX(tblAudits[Client ABN],MATCH(B109,tblAudits[Audit ID],0)),"")</f>
        <v>73615246118</v>
      </c>
      <c r="K109" s="1"/>
    </row>
    <row r="110" spans="1:11" x14ac:dyDescent="0.25">
      <c r="A110" s="1" t="s">
        <v>694</v>
      </c>
      <c r="B110" s="1" t="s">
        <v>99</v>
      </c>
      <c r="C110" s="1" t="s">
        <v>695</v>
      </c>
      <c r="D110" s="1">
        <v>1</v>
      </c>
      <c r="E110" s="1" t="s">
        <v>525</v>
      </c>
      <c r="F110" s="4">
        <v>44440</v>
      </c>
      <c r="G110" s="4">
        <f>IF(F110="","",EDATE(F110,12)-1)</f>
        <v>44804</v>
      </c>
      <c r="H110" s="1" t="str">
        <f>IFERROR(INDEX(tblAudits[Audit Type],MATCH(B110,tblAudits[Audit ID],0)),"")</f>
        <v>HVNL Management Plan</v>
      </c>
      <c r="I110" s="1" t="str">
        <f>IF(J110="","",IFERROR(INDEX(tblOrgs[Client Name],MATCH(J110,tblOrgs[Client ABN],0)),""))</f>
        <v>Gillies Civil Pty Ltd</v>
      </c>
      <c r="J110" s="1">
        <f>IFERROR(INDEX(tblAudits[Client ABN],MATCH(B110,tblAudits[Audit ID],0)),"")</f>
        <v>31475957719</v>
      </c>
      <c r="K110" s="1"/>
    </row>
    <row r="111" spans="1:11" x14ac:dyDescent="0.25">
      <c r="A111" s="1" t="s">
        <v>738</v>
      </c>
      <c r="B111" s="1" t="s">
        <v>121</v>
      </c>
      <c r="C111" s="1" t="s">
        <v>739</v>
      </c>
      <c r="D111" s="1">
        <v>1</v>
      </c>
      <c r="E111" s="1" t="s">
        <v>525</v>
      </c>
      <c r="F111" s="4">
        <v>44446</v>
      </c>
      <c r="G111" s="4">
        <f>IF(F111="","",EDATE(F111,12)-1)</f>
        <v>44810</v>
      </c>
      <c r="H111" s="1" t="str">
        <f>IFERROR(INDEX(tblAudits[Audit Type],MATCH(B111,tblAudits[Audit ID],0)),"")</f>
        <v>HVNL Management Plan</v>
      </c>
      <c r="I111" s="1" t="str">
        <f>IF(J111="","",IFERROR(INDEX(tblOrgs[Client Name],MATCH(J111,tblOrgs[Client ABN],0)),""))</f>
        <v>Neilsens Holdings Pty Ltd</v>
      </c>
      <c r="J111" s="1">
        <f>IFERROR(INDEX(tblAudits[Client ABN],MATCH(B111,tblAudits[Audit ID],0)),"")</f>
        <v>92009940989</v>
      </c>
      <c r="K111" s="1"/>
    </row>
    <row r="112" spans="1:11" x14ac:dyDescent="0.25">
      <c r="A112" s="1" t="s">
        <v>660</v>
      </c>
      <c r="B112" s="1" t="s">
        <v>82</v>
      </c>
      <c r="C112" s="1" t="s">
        <v>661</v>
      </c>
      <c r="D112" s="1">
        <v>1</v>
      </c>
      <c r="E112" s="1" t="s">
        <v>525</v>
      </c>
      <c r="F112" s="4">
        <v>44447</v>
      </c>
      <c r="G112" s="4">
        <f>IF(F112="","",EDATE(F112,12)-1)</f>
        <v>44811</v>
      </c>
      <c r="H112" s="1" t="str">
        <f>IFERROR(INDEX(tblAudits[Audit Type],MATCH(B112,tblAudits[Audit ID],0)),"")</f>
        <v>HVNL Management Plan</v>
      </c>
      <c r="I112" s="1" t="str">
        <f>IF(J112="","",IFERROR(INDEX(tblOrgs[Client Name],MATCH(J112,tblOrgs[Client ABN],0)),""))</f>
        <v>Coates Hire Operations Pty Limited</v>
      </c>
      <c r="J112" s="1">
        <f>IFERROR(INDEX(tblAudits[Client ABN],MATCH(B112,tblAudits[Audit ID],0)),"")</f>
        <v>99074126971</v>
      </c>
      <c r="K112" s="1"/>
    </row>
    <row r="113" spans="1:11" x14ac:dyDescent="0.25">
      <c r="A113" s="1" t="s">
        <v>718</v>
      </c>
      <c r="B113" s="1" t="s">
        <v>111</v>
      </c>
      <c r="C113" s="1" t="s">
        <v>719</v>
      </c>
      <c r="D113" s="1">
        <v>1</v>
      </c>
      <c r="E113" s="1" t="s">
        <v>525</v>
      </c>
      <c r="F113" s="4">
        <v>44448</v>
      </c>
      <c r="G113" s="4">
        <f>IF(F113="","",EDATE(F113,12)-1)</f>
        <v>44812</v>
      </c>
      <c r="H113" s="1" t="str">
        <f>IFERROR(INDEX(tblAudits[Audit Type],MATCH(B113,tblAudits[Audit ID],0)),"")</f>
        <v>HVNL Management Plan</v>
      </c>
      <c r="I113" s="1" t="str">
        <f>IF(J113="","",IFERROR(INDEX(tblOrgs[Client Name],MATCH(J113,tblOrgs[Client ABN],0)),""))</f>
        <v>LCR Group Pty Ltd</v>
      </c>
      <c r="J113" s="1">
        <f>IFERROR(INDEX(tblAudits[Client ABN],MATCH(B113,tblAudits[Audit ID],0)),"")</f>
        <v>78095626798</v>
      </c>
      <c r="K113" s="1"/>
    </row>
    <row r="114" spans="1:11" x14ac:dyDescent="0.25">
      <c r="A114" s="1" t="s">
        <v>674</v>
      </c>
      <c r="B114" s="1" t="s">
        <v>89</v>
      </c>
      <c r="C114" s="1" t="s">
        <v>675</v>
      </c>
      <c r="D114" s="1">
        <v>1</v>
      </c>
      <c r="E114" s="1" t="s">
        <v>525</v>
      </c>
      <c r="F114" s="4">
        <v>44422</v>
      </c>
      <c r="G114" s="4">
        <f>IF(F114="","",EDATE(F114,12)-1)</f>
        <v>44786</v>
      </c>
      <c r="H114" s="1" t="str">
        <f>IFERROR(INDEX(tblAudits[Audit Type],MATCH(B114,tblAudits[Audit ID],0)),"")</f>
        <v>HVNL Management Plan</v>
      </c>
      <c r="I114" s="1" t="str">
        <f>IF(J114="","",IFERROR(INDEX(tblOrgs[Client Name],MATCH(J114,tblOrgs[Client ABN],0)),""))</f>
        <v>Earthtek Excavations Pty Ltd</v>
      </c>
      <c r="J114" s="1">
        <f>IFERROR(INDEX(tblAudits[Client ABN],MATCH(B114,tblAudits[Audit ID],0)),"")</f>
        <v>54090536575</v>
      </c>
      <c r="K114" s="1"/>
    </row>
    <row r="115" spans="1:11" x14ac:dyDescent="0.25">
      <c r="A115" s="1" t="s">
        <v>794</v>
      </c>
      <c r="B115" s="1" t="s">
        <v>149</v>
      </c>
      <c r="C115" s="1" t="s">
        <v>795</v>
      </c>
      <c r="D115" s="1">
        <v>1</v>
      </c>
      <c r="E115" s="1" t="s">
        <v>525</v>
      </c>
      <c r="F115" s="4">
        <v>44422</v>
      </c>
      <c r="G115" s="4">
        <f>IF(F115="","",EDATE(F115,12)-1)</f>
        <v>44786</v>
      </c>
      <c r="H115" s="1" t="str">
        <f>IFERROR(INDEX(tblAudits[Audit Type],MATCH(B115,tblAudits[Audit ID],0)),"")</f>
        <v>WHS Management System</v>
      </c>
      <c r="I115" s="1" t="str">
        <f>IF(J115="","",IFERROR(INDEX(tblOrgs[Client Name],MATCH(J115,tblOrgs[Client ABN],0)),""))</f>
        <v>Earthtek Excavations Pty Ltd</v>
      </c>
      <c r="J115" s="1">
        <f>IFERROR(INDEX(tblAudits[Client ABN],MATCH(B115,tblAudits[Audit ID],0)),"")</f>
        <v>54090536575</v>
      </c>
      <c r="K115" s="1"/>
    </row>
    <row r="116" spans="1:11" x14ac:dyDescent="0.25">
      <c r="A116" s="1" t="s">
        <v>646</v>
      </c>
      <c r="B116" s="1" t="s">
        <v>75</v>
      </c>
      <c r="C116" s="1" t="s">
        <v>647</v>
      </c>
      <c r="D116" s="1">
        <v>1</v>
      </c>
      <c r="E116" s="1" t="s">
        <v>525</v>
      </c>
      <c r="F116" s="4">
        <v>44480</v>
      </c>
      <c r="G116" s="4">
        <f>IF(F116="","",EDATE(F116,12)-1)</f>
        <v>44844</v>
      </c>
      <c r="H116" s="1" t="str">
        <f>IFERROR(INDEX(tblAudits[Audit Type],MATCH(B116,tblAudits[Audit ID],0)),"")</f>
        <v>HVNL Management Plan</v>
      </c>
      <c r="I116" s="1" t="str">
        <f>IF(J116="","",IFERROR(INDEX(tblOrgs[Client Name],MATCH(J116,tblOrgs[Client ABN],0)),""))</f>
        <v>Bitupave Ltd</v>
      </c>
      <c r="J116" s="1">
        <f>IFERROR(INDEX(tblAudits[Client ABN],MATCH(B116,tblAudits[Audit ID],0)),"")</f>
        <v>53000102376</v>
      </c>
      <c r="K116" s="1"/>
    </row>
    <row r="117" spans="1:11" x14ac:dyDescent="0.25">
      <c r="A117" s="1" t="s">
        <v>784</v>
      </c>
      <c r="B117" s="1" t="s">
        <v>144</v>
      </c>
      <c r="C117" s="1" t="s">
        <v>785</v>
      </c>
      <c r="D117" s="1">
        <v>1</v>
      </c>
      <c r="E117" s="1" t="s">
        <v>525</v>
      </c>
      <c r="F117" s="4">
        <v>44507</v>
      </c>
      <c r="G117" s="4">
        <f>IF(F117="","",EDATE(F117,12)-1)</f>
        <v>44871</v>
      </c>
      <c r="H117" s="1" t="str">
        <f>IFERROR(INDEX(tblAudits[Audit Type],MATCH(B117,tblAudits[Audit ID],0)),"")</f>
        <v>HVNL Management Plan</v>
      </c>
      <c r="I117" s="1" t="str">
        <f>IF(J117="","",IFERROR(INDEX(tblOrgs[Client Name],MATCH(J117,tblOrgs[Client ABN],0)),""))</f>
        <v>Victorian Crane Hire Pty Ltd</v>
      </c>
      <c r="J117" s="1">
        <f>IFERROR(INDEX(tblAudits[Client ABN],MATCH(B117,tblAudits[Audit ID],0)),"")</f>
        <v>15619105092</v>
      </c>
      <c r="K117" s="1"/>
    </row>
    <row r="118" spans="1:11" x14ac:dyDescent="0.25">
      <c r="A118" s="1" t="s">
        <v>686</v>
      </c>
      <c r="B118" s="1" t="s">
        <v>95</v>
      </c>
      <c r="C118" s="1" t="s">
        <v>687</v>
      </c>
      <c r="D118" s="1">
        <v>1</v>
      </c>
      <c r="E118" s="1" t="s">
        <v>525</v>
      </c>
      <c r="F118" s="4">
        <v>44491</v>
      </c>
      <c r="G118" s="4">
        <f>IF(F118="","",EDATE(F118,12)-1)</f>
        <v>44855</v>
      </c>
      <c r="H118" s="1" t="str">
        <f>IFERROR(INDEX(tblAudits[Audit Type],MATCH(B118,tblAudits[Audit ID],0)),"")</f>
        <v>HVNL Management Plan</v>
      </c>
      <c r="I118" s="1" t="str">
        <f>IF(J118="","",IFERROR(INDEX(tblOrgs[Client Name],MATCH(J118,tblOrgs[Client ABN],0)),""))</f>
        <v>Flomar Pty Ltd</v>
      </c>
      <c r="J118" s="1">
        <f>IFERROR(INDEX(tblAudits[Client ABN],MATCH(B118,tblAudits[Audit ID],0)),"")</f>
        <v>24617070407</v>
      </c>
      <c r="K118" s="1"/>
    </row>
    <row r="119" spans="1:11" x14ac:dyDescent="0.25">
      <c r="A119" s="1" t="s">
        <v>716</v>
      </c>
      <c r="B119" s="1" t="s">
        <v>110</v>
      </c>
      <c r="C119" s="1" t="s">
        <v>717</v>
      </c>
      <c r="D119" s="1">
        <v>1</v>
      </c>
      <c r="E119" s="1" t="s">
        <v>525</v>
      </c>
      <c r="F119" s="4">
        <v>44495</v>
      </c>
      <c r="G119" s="4">
        <f>IF(F119="","",EDATE(F119,12)-1)</f>
        <v>44859</v>
      </c>
      <c r="H119" s="1" t="str">
        <f>IFERROR(INDEX(tblAudits[Audit Type],MATCH(B119,tblAudits[Audit ID],0)),"")</f>
        <v>HVNL Management Plan</v>
      </c>
      <c r="I119" s="1" t="str">
        <f>IF(J119="","",IFERROR(INDEX(tblOrgs[Client Name],MATCH(J119,tblOrgs[Client ABN],0)),""))</f>
        <v>Kenny Constructions (Aust.) Pty. Limited</v>
      </c>
      <c r="J119" s="1">
        <f>IFERROR(INDEX(tblAudits[Client ABN],MATCH(B119,tblAudits[Audit ID],0)),"")</f>
        <v>74096169416</v>
      </c>
      <c r="K119" s="1"/>
    </row>
    <row r="120" spans="1:11" x14ac:dyDescent="0.25">
      <c r="A120" s="1" t="s">
        <v>684</v>
      </c>
      <c r="B120" s="1" t="s">
        <v>94</v>
      </c>
      <c r="C120" s="1" t="s">
        <v>685</v>
      </c>
      <c r="D120" s="1">
        <v>1</v>
      </c>
      <c r="E120" s="1" t="s">
        <v>525</v>
      </c>
      <c r="F120" s="4">
        <v>44503</v>
      </c>
      <c r="G120" s="4">
        <f>IF(F120="","",EDATE(F120,12)-1)</f>
        <v>44867</v>
      </c>
      <c r="H120" s="1" t="str">
        <f>IFERROR(INDEX(tblAudits[Audit Type],MATCH(B120,tblAudits[Audit ID],0)),"")</f>
        <v>HVNL Management Plan</v>
      </c>
      <c r="I120" s="1" t="str">
        <f>IF(J120="","",IFERROR(INDEX(tblOrgs[Client Name],MATCH(J120,tblOrgs[Client ABN],0)),""))</f>
        <v>Evolution Group Holdings Pty Ltd</v>
      </c>
      <c r="J120" s="1">
        <f>IFERROR(INDEX(tblAudits[Client ABN],MATCH(B120,tblAudits[Audit ID],0)),"")</f>
        <v>14147834133</v>
      </c>
      <c r="K120" s="1"/>
    </row>
    <row r="121" spans="1:11" x14ac:dyDescent="0.25">
      <c r="A121" s="1" t="s">
        <v>760</v>
      </c>
      <c r="B121" s="1" t="s">
        <v>132</v>
      </c>
      <c r="C121" s="1" t="s">
        <v>761</v>
      </c>
      <c r="D121" s="1">
        <v>1</v>
      </c>
      <c r="E121" s="1" t="s">
        <v>525</v>
      </c>
      <c r="F121" s="4">
        <v>44503</v>
      </c>
      <c r="G121" s="4">
        <f>IF(F121="","",EDATE(F121,12)-1)</f>
        <v>44867</v>
      </c>
      <c r="H121" s="1" t="str">
        <f>IFERROR(INDEX(tblAudits[Audit Type],MATCH(B121,tblAudits[Audit ID],0)),"")</f>
        <v>HVNL Management Plan</v>
      </c>
      <c r="I121" s="1" t="str">
        <f>IF(J121="","",IFERROR(INDEX(tblOrgs[Client Name],MATCH(J121,tblOrgs[Client ABN],0)),""))</f>
        <v>SAF Group Pty Ltd</v>
      </c>
      <c r="J121" s="1">
        <f>IFERROR(INDEX(tblAudits[Client ABN],MATCH(B121,tblAudits[Audit ID],0)),"")</f>
        <v>61126104489</v>
      </c>
      <c r="K121" s="1"/>
    </row>
    <row r="122" spans="1:11" x14ac:dyDescent="0.25">
      <c r="A122" s="1" t="s">
        <v>630</v>
      </c>
      <c r="B122" s="1" t="s">
        <v>67</v>
      </c>
      <c r="C122" s="1" t="s">
        <v>631</v>
      </c>
      <c r="D122" s="1">
        <v>1</v>
      </c>
      <c r="E122" s="1" t="s">
        <v>525</v>
      </c>
      <c r="F122" s="4">
        <v>44504</v>
      </c>
      <c r="G122" s="4">
        <f>IF(F122="","",EDATE(F122,12)-1)</f>
        <v>44868</v>
      </c>
      <c r="H122" s="1" t="str">
        <f>IFERROR(INDEX(tblAudits[Audit Type],MATCH(B122,tblAudits[Audit ID],0)),"")</f>
        <v>HVNL Management Plan</v>
      </c>
      <c r="I122" s="1" t="str">
        <f>IF(J122="","",IFERROR(INDEX(tblOrgs[Client Name],MATCH(J122,tblOrgs[Client ABN],0)),""))</f>
        <v>Ace Civil Services Pty Ltd</v>
      </c>
      <c r="J122" s="1">
        <f>IFERROR(INDEX(tblAudits[Client ABN],MATCH(B122,tblAudits[Audit ID],0)),"")</f>
        <v>16131093466</v>
      </c>
      <c r="K122" s="1"/>
    </row>
    <row r="123" spans="1:11" x14ac:dyDescent="0.25">
      <c r="A123" s="1" t="s">
        <v>636</v>
      </c>
      <c r="B123" s="1" t="s">
        <v>70</v>
      </c>
      <c r="C123" s="1" t="s">
        <v>637</v>
      </c>
      <c r="D123" s="1">
        <v>1</v>
      </c>
      <c r="E123" s="1" t="s">
        <v>525</v>
      </c>
      <c r="F123" s="4">
        <v>44525</v>
      </c>
      <c r="G123" s="4">
        <f>IF(F123="","",EDATE(F123,12)-1)</f>
        <v>44889</v>
      </c>
      <c r="H123" s="1" t="str">
        <f>IFERROR(INDEX(tblAudits[Audit Type],MATCH(B123,tblAudits[Audit ID],0)),"")</f>
        <v>HVNL Management Plan</v>
      </c>
      <c r="I123" s="1" t="str">
        <f>IF(J123="","",IFERROR(INDEX(tblOrgs[Client Name],MATCH(J123,tblOrgs[Client ABN],0)),""))</f>
        <v>As you like it Landscaping Pty Ltd</v>
      </c>
      <c r="J123" s="1">
        <f>IFERROR(INDEX(tblAudits[Client ABN],MATCH(B123,tblAudits[Audit ID],0)),"")</f>
        <v>51064081956</v>
      </c>
      <c r="K123" s="1"/>
    </row>
    <row r="124" spans="1:11" x14ac:dyDescent="0.25">
      <c r="A124" s="1" t="s">
        <v>764</v>
      </c>
      <c r="B124" s="1" t="s">
        <v>134</v>
      </c>
      <c r="C124" s="1" t="s">
        <v>765</v>
      </c>
      <c r="D124" s="1">
        <v>1</v>
      </c>
      <c r="E124" s="1" t="s">
        <v>525</v>
      </c>
      <c r="F124" s="4">
        <v>44502</v>
      </c>
      <c r="G124" s="4">
        <f>IF(F124="","",EDATE(F124,12)-1)</f>
        <v>44866</v>
      </c>
      <c r="H124" s="1" t="str">
        <f>IFERROR(INDEX(tblAudits[Audit Type],MATCH(B124,tblAudits[Audit ID],0)),"")</f>
        <v>HVNL Management Plan</v>
      </c>
      <c r="I124" s="1" t="str">
        <f>IF(J124="","",IFERROR(INDEX(tblOrgs[Client Name],MATCH(J124,tblOrgs[Client ABN],0)),""))</f>
        <v>Stephens Plant Hire Pty Ltd</v>
      </c>
      <c r="J124" s="1">
        <f>IFERROR(INDEX(tblAudits[Client ABN],MATCH(B124,tblAudits[Audit ID],0)),"")</f>
        <v>41612483011</v>
      </c>
      <c r="K124" s="1"/>
    </row>
    <row r="125" spans="1:11" x14ac:dyDescent="0.25">
      <c r="A125" s="1" t="s">
        <v>722</v>
      </c>
      <c r="B125" s="1" t="s">
        <v>113</v>
      </c>
      <c r="C125" s="1" t="s">
        <v>723</v>
      </c>
      <c r="D125" s="1">
        <v>1</v>
      </c>
      <c r="E125" s="1" t="s">
        <v>525</v>
      </c>
      <c r="F125" s="4">
        <v>44476</v>
      </c>
      <c r="G125" s="4">
        <f>IF(F125="","",EDATE(F125,12)-1)</f>
        <v>44840</v>
      </c>
      <c r="H125" s="1" t="str">
        <f>IFERROR(INDEX(tblAudits[Audit Type],MATCH(B125,tblAudits[Audit ID],0)),"")</f>
        <v>HVNL Management Plan</v>
      </c>
      <c r="I125" s="1" t="str">
        <f>IF(J125="","",IFERROR(INDEX(tblOrgs[Client Name],MATCH(J125,tblOrgs[Client ABN],0)),""))</f>
        <v>Maas Group Holdings</v>
      </c>
      <c r="J125" s="1">
        <f>IFERROR(INDEX(tblAudits[Client ABN],MATCH(B125,tblAudits[Audit ID],0)),"")</f>
        <v>84632994542</v>
      </c>
      <c r="K125" s="1"/>
    </row>
    <row r="126" spans="1:11" x14ac:dyDescent="0.25">
      <c r="A126" s="1" t="s">
        <v>644</v>
      </c>
      <c r="B126" s="1" t="s">
        <v>74</v>
      </c>
      <c r="C126" s="1" t="s">
        <v>645</v>
      </c>
      <c r="D126" s="1">
        <v>1</v>
      </c>
      <c r="E126" s="1" t="s">
        <v>525</v>
      </c>
      <c r="F126" s="4">
        <v>44510</v>
      </c>
      <c r="G126" s="4">
        <f>IF(F126="","",EDATE(F126,12)-1)</f>
        <v>44874</v>
      </c>
      <c r="H126" s="1" t="str">
        <f>IFERROR(INDEX(tblAudits[Audit Type],MATCH(B126,tblAudits[Audit ID],0)),"")</f>
        <v>HVNL Management Plan</v>
      </c>
      <c r="I126" s="1" t="str">
        <f>IF(J126="","",IFERROR(INDEX(tblOrgs[Client Name],MATCH(J126,tblOrgs[Client ABN],0)),""))</f>
        <v>Betts Blasting Pty Ltd</v>
      </c>
      <c r="J126" s="1">
        <f>IFERROR(INDEX(tblAudits[Client ABN],MATCH(B126,tblAudits[Audit ID],0)),"")</f>
        <v>59147526583</v>
      </c>
      <c r="K126" s="1"/>
    </row>
    <row r="127" spans="1:11" x14ac:dyDescent="0.25">
      <c r="A127" s="1" t="s">
        <v>714</v>
      </c>
      <c r="B127" s="1" t="s">
        <v>109</v>
      </c>
      <c r="C127" s="1" t="s">
        <v>715</v>
      </c>
      <c r="D127" s="1">
        <v>1</v>
      </c>
      <c r="E127" s="1" t="s">
        <v>525</v>
      </c>
      <c r="F127" s="4">
        <v>44516</v>
      </c>
      <c r="G127" s="4">
        <f>IF(F127="","",EDATE(F127,12)-1)</f>
        <v>44880</v>
      </c>
      <c r="H127" s="1" t="str">
        <f>IFERROR(INDEX(tblAudits[Audit Type],MATCH(B127,tblAudits[Audit ID],0)),"")</f>
        <v>HVNL Management Plan</v>
      </c>
      <c r="I127" s="1" t="str">
        <f>IF(J127="","",IFERROR(INDEX(tblOrgs[Client Name],MATCH(J127,tblOrgs[Client ABN],0)),""))</f>
        <v>Kellys Earthworks Pty Ltd</v>
      </c>
      <c r="J127" s="1">
        <f>IFERROR(INDEX(tblAudits[Client ABN],MATCH(B127,tblAudits[Audit ID],0)),"")</f>
        <v>59607689289</v>
      </c>
      <c r="K127" s="1"/>
    </row>
    <row r="128" spans="1:11" x14ac:dyDescent="0.25">
      <c r="A128" s="1" t="s">
        <v>748</v>
      </c>
      <c r="B128" s="1" t="s">
        <v>126</v>
      </c>
      <c r="C128" s="1" t="s">
        <v>749</v>
      </c>
      <c r="D128" s="1">
        <v>1</v>
      </c>
      <c r="E128" s="1" t="s">
        <v>525</v>
      </c>
      <c r="F128" s="4">
        <v>44489</v>
      </c>
      <c r="G128" s="4">
        <f>IF(F128="","",EDATE(F128,12)-1)</f>
        <v>44853</v>
      </c>
      <c r="H128" s="1" t="str">
        <f>IFERROR(INDEX(tblAudits[Audit Type],MATCH(B128,tblAudits[Audit ID],0)),"")</f>
        <v>HVNL Management Plan</v>
      </c>
      <c r="I128" s="1" t="str">
        <f>IF(J128="","",IFERROR(INDEX(tblOrgs[Client Name],MATCH(J128,tblOrgs[Client ABN],0)),""))</f>
        <v>Queensland Pre-Stressing Pty Ltd</v>
      </c>
      <c r="J128" s="1">
        <f>IFERROR(INDEX(tblAudits[Client ABN],MATCH(B128,tblAudits[Audit ID],0)),"")</f>
        <v>95063541873</v>
      </c>
      <c r="K128" s="1"/>
    </row>
    <row r="129" spans="1:11" x14ac:dyDescent="0.25">
      <c r="A129" s="1" t="s">
        <v>664</v>
      </c>
      <c r="B129" s="1" t="s">
        <v>84</v>
      </c>
      <c r="C129" s="1" t="s">
        <v>665</v>
      </c>
      <c r="D129" s="1">
        <v>1</v>
      </c>
      <c r="E129" s="1" t="s">
        <v>525</v>
      </c>
      <c r="F129" s="4">
        <v>44522</v>
      </c>
      <c r="G129" s="4">
        <f>IF(F129="","",EDATE(F129,12)-1)</f>
        <v>44886</v>
      </c>
      <c r="H129" s="1" t="str">
        <f>IFERROR(INDEX(tblAudits[Audit Type],MATCH(B129,tblAudits[Audit ID],0)),"")</f>
        <v>HVNL Management Plan</v>
      </c>
      <c r="I129" s="1" t="str">
        <f>IF(J129="","",IFERROR(INDEX(tblOrgs[Client Name],MATCH(J129,tblOrgs[Client ABN],0)),""))</f>
        <v>Cono Services Pty Ltd</v>
      </c>
      <c r="J129" s="1">
        <f>IFERROR(INDEX(tblAudits[Client ABN],MATCH(B129,tblAudits[Audit ID],0)),"")</f>
        <v>90167205656</v>
      </c>
      <c r="K129" s="1"/>
    </row>
    <row r="130" spans="1:11" x14ac:dyDescent="0.25">
      <c r="A130" s="1" t="s">
        <v>732</v>
      </c>
      <c r="B130" s="1" t="s">
        <v>118</v>
      </c>
      <c r="C130" s="1" t="s">
        <v>733</v>
      </c>
      <c r="D130" s="1">
        <v>1</v>
      </c>
      <c r="E130" s="1" t="s">
        <v>525</v>
      </c>
      <c r="F130" s="4">
        <v>44502</v>
      </c>
      <c r="G130" s="4">
        <f>IF(F130="","",EDATE(F130,12)-1)</f>
        <v>44866</v>
      </c>
      <c r="H130" s="1" t="str">
        <f>IFERROR(INDEX(tblAudits[Audit Type],MATCH(B130,tblAudits[Audit ID],0)),"")</f>
        <v>HVNL Management Plan</v>
      </c>
      <c r="I130" s="1" t="str">
        <f>IF(J130="","",IFERROR(INDEX(tblOrgs[Client Name],MATCH(J130,tblOrgs[Client ABN],0)),""))</f>
        <v>Modcast Pty Ltd</v>
      </c>
      <c r="J130" s="1">
        <f>IFERROR(INDEX(tblAudits[Client ABN],MATCH(B130,tblAudits[Audit ID],0)),"")</f>
        <v>30626198847</v>
      </c>
      <c r="K130" s="1"/>
    </row>
    <row r="131" spans="1:11" x14ac:dyDescent="0.25">
      <c r="A131" s="1" t="s">
        <v>774</v>
      </c>
      <c r="B131" s="1" t="s">
        <v>139</v>
      </c>
      <c r="C131" s="1" t="s">
        <v>775</v>
      </c>
      <c r="D131" s="1">
        <v>1</v>
      </c>
      <c r="E131" s="1" t="s">
        <v>525</v>
      </c>
      <c r="F131" s="4">
        <v>44532</v>
      </c>
      <c r="G131" s="4">
        <f>IF(F131="","",EDATE(F131,12)-1)</f>
        <v>44896</v>
      </c>
      <c r="H131" s="1" t="str">
        <f>IFERROR(INDEX(tblAudits[Audit Type],MATCH(B131,tblAudits[Audit ID],0)),"")</f>
        <v>HVNL Management Plan</v>
      </c>
      <c r="I131" s="1" t="str">
        <f>IF(J131="","",IFERROR(INDEX(tblOrgs[Client Name],MATCH(J131,tblOrgs[Client ABN],0)),""))</f>
        <v>Taylors Freight Transport Pty Ltd</v>
      </c>
      <c r="J131" s="1">
        <f>IFERROR(INDEX(tblAudits[Client ABN],MATCH(B131,tblAudits[Audit ID],0)),"")</f>
        <v>91136398126</v>
      </c>
      <c r="K131" s="1"/>
    </row>
    <row r="132" spans="1:11" x14ac:dyDescent="0.25">
      <c r="A132" s="1" t="s">
        <v>756</v>
      </c>
      <c r="B132" s="1" t="s">
        <v>130</v>
      </c>
      <c r="C132" s="1" t="s">
        <v>757</v>
      </c>
      <c r="D132" s="1">
        <v>1</v>
      </c>
      <c r="E132" s="1" t="s">
        <v>525</v>
      </c>
      <c r="F132" s="4">
        <v>44502</v>
      </c>
      <c r="G132" s="4">
        <f>IF(F132="","",EDATE(F132,12)-1)</f>
        <v>44866</v>
      </c>
      <c r="H132" s="1" t="str">
        <f>IFERROR(INDEX(tblAudits[Audit Type],MATCH(B132,tblAudits[Audit ID],0)),"")</f>
        <v>HVNL Management Plan</v>
      </c>
      <c r="I132" s="1" t="str">
        <f>IF(J132="","",IFERROR(INDEX(tblOrgs[Client Name],MATCH(J132,tblOrgs[Client ABN],0)),""))</f>
        <v>Reinforced Earth Pty Ltd</v>
      </c>
      <c r="J132" s="1">
        <f>IFERROR(INDEX(tblAudits[Client ABN],MATCH(B132,tblAudits[Audit ID],0)),"")</f>
        <v>53001215327</v>
      </c>
      <c r="K132" s="1"/>
    </row>
    <row r="133" spans="1:11" x14ac:dyDescent="0.25">
      <c r="A133" s="1" t="s">
        <v>750</v>
      </c>
      <c r="B133" s="1" t="s">
        <v>127</v>
      </c>
      <c r="C133" s="1" t="s">
        <v>751</v>
      </c>
      <c r="D133" s="1">
        <v>1</v>
      </c>
      <c r="E133" s="1" t="s">
        <v>525</v>
      </c>
      <c r="F133" s="4">
        <v>44536</v>
      </c>
      <c r="G133" s="4">
        <f>IF(F133="","",EDATE(F133,12)-1)</f>
        <v>44900</v>
      </c>
      <c r="H133" s="1" t="str">
        <f>IFERROR(INDEX(tblAudits[Audit Type],MATCH(B133,tblAudits[Audit ID],0)),"")</f>
        <v>HVNL Management Plan</v>
      </c>
      <c r="I133" s="1" t="str">
        <f>IF(J133="","",IFERROR(INDEX(tblOrgs[Client Name],MATCH(J133,tblOrgs[Client ABN],0)),""))</f>
        <v>RA Smith Contracting Pty Ltd</v>
      </c>
      <c r="J133" s="1">
        <f>IFERROR(INDEX(tblAudits[Client ABN],MATCH(B133,tblAudits[Audit ID],0)),"")</f>
        <v>65006694702</v>
      </c>
      <c r="K133" s="1"/>
    </row>
    <row r="134" spans="1:11" x14ac:dyDescent="0.25">
      <c r="A134" s="1" t="s">
        <v>744</v>
      </c>
      <c r="B134" s="1" t="s">
        <v>124</v>
      </c>
      <c r="C134" s="1" t="s">
        <v>745</v>
      </c>
      <c r="D134" s="1">
        <v>1</v>
      </c>
      <c r="E134" s="1" t="s">
        <v>525</v>
      </c>
      <c r="F134" s="4">
        <v>44483</v>
      </c>
      <c r="G134" s="4">
        <f>IF(F134="","",EDATE(F134,12)-1)</f>
        <v>44847</v>
      </c>
      <c r="H134" s="1" t="str">
        <f>IFERROR(INDEX(tblAudits[Audit Type],MATCH(B134,tblAudits[Audit ID],0)),"")</f>
        <v>HVNL Management Plan</v>
      </c>
      <c r="I134" s="1" t="str">
        <f>IF(J134="","",IFERROR(INDEX(tblOrgs[Client Name],MATCH(J134,tblOrgs[Client ABN],0)),""))</f>
        <v>Precision Pipe Networks Pty Ltd</v>
      </c>
      <c r="J134" s="1">
        <f>IFERROR(INDEX(tblAudits[Client ABN],MATCH(B134,tblAudits[Audit ID],0)),"")</f>
        <v>79610774199</v>
      </c>
      <c r="K134" s="1"/>
    </row>
    <row r="135" spans="1:11" x14ac:dyDescent="0.25">
      <c r="A135" s="1" t="s">
        <v>950</v>
      </c>
      <c r="B135" s="1" t="s">
        <v>227</v>
      </c>
      <c r="C135" s="1" t="s">
        <v>951</v>
      </c>
      <c r="D135" s="1">
        <v>1</v>
      </c>
      <c r="E135" s="1" t="s">
        <v>525</v>
      </c>
      <c r="F135" s="4">
        <v>44573</v>
      </c>
      <c r="G135" s="4">
        <f>IF(F135="","",EDATE(F135,12)-1)</f>
        <v>44937</v>
      </c>
      <c r="H135" s="1" t="str">
        <f>IFERROR(INDEX(tblAudits[Audit Type],MATCH(B135,tblAudits[Audit ID],0)),"")</f>
        <v>HVNL Management Plan</v>
      </c>
      <c r="I135" s="1" t="str">
        <f>IF(J135="","",IFERROR(INDEX(tblOrgs[Client Name],MATCH(J135,tblOrgs[Client ABN],0)),""))</f>
        <v>Wessel Drilling Pty Ltd</v>
      </c>
      <c r="J135" s="1">
        <f>IFERROR(INDEX(tblAudits[Client ABN],MATCH(B135,tblAudits[Audit ID],0)),"")</f>
        <v>88604544023</v>
      </c>
      <c r="K135" s="1"/>
    </row>
    <row r="136" spans="1:11" x14ac:dyDescent="0.25">
      <c r="A136" s="1" t="s">
        <v>920</v>
      </c>
      <c r="B136" s="1" t="s">
        <v>212</v>
      </c>
      <c r="C136" s="1" t="s">
        <v>921</v>
      </c>
      <c r="D136" s="1">
        <v>1</v>
      </c>
      <c r="E136" s="1" t="s">
        <v>525</v>
      </c>
      <c r="F136" s="4">
        <v>44578</v>
      </c>
      <c r="G136" s="4">
        <f>IF(F136="","",EDATE(F136,12)-1)</f>
        <v>44942</v>
      </c>
      <c r="H136" s="1" t="str">
        <f>IFERROR(INDEX(tblAudits[Audit Type],MATCH(B136,tblAudits[Audit ID],0)),"")</f>
        <v>HVNL Management Plan</v>
      </c>
      <c r="I136" s="1" t="str">
        <f>IF(J136="","",IFERROR(INDEX(tblOrgs[Client Name],MATCH(J136,tblOrgs[Client ABN],0)),""))</f>
        <v>Rhomberg Rail Australia Pty Ltd</v>
      </c>
      <c r="J136" s="1">
        <f>IFERROR(INDEX(tblAudits[Client ABN],MATCH(B136,tblAudits[Audit ID],0)),"")</f>
        <v>70082016608</v>
      </c>
      <c r="K136" s="1"/>
    </row>
    <row r="137" spans="1:11" x14ac:dyDescent="0.25">
      <c r="A137" s="1" t="s">
        <v>816</v>
      </c>
      <c r="B137" s="1" t="s">
        <v>160</v>
      </c>
      <c r="C137" s="1" t="s">
        <v>817</v>
      </c>
      <c r="D137" s="1">
        <v>1</v>
      </c>
      <c r="E137" s="1" t="s">
        <v>525</v>
      </c>
      <c r="F137" s="4">
        <v>44578</v>
      </c>
      <c r="G137" s="4">
        <f>IF(F137="","",EDATE(F137,12)-1)</f>
        <v>44942</v>
      </c>
      <c r="H137" s="1" t="str">
        <f>IFERROR(INDEX(tblAudits[Audit Type],MATCH(B137,tblAudits[Audit ID],0)),"")</f>
        <v>HVNL Management Plan</v>
      </c>
      <c r="I137" s="1" t="str">
        <f>IF(J137="","",IFERROR(INDEX(tblOrgs[Client Name],MATCH(J137,tblOrgs[Client ABN],0)),""))</f>
        <v>Australian Utilities Management Pty Ltd</v>
      </c>
      <c r="J137" s="1">
        <f>IFERROR(INDEX(tblAudits[Client ABN],MATCH(B137,tblAudits[Audit ID],0)),"")</f>
        <v>50140551104</v>
      </c>
      <c r="K137" s="1"/>
    </row>
    <row r="138" spans="1:11" x14ac:dyDescent="0.25">
      <c r="A138" s="1" t="s">
        <v>898</v>
      </c>
      <c r="B138" s="1" t="s">
        <v>201</v>
      </c>
      <c r="C138" s="1" t="s">
        <v>899</v>
      </c>
      <c r="D138" s="1">
        <v>1</v>
      </c>
      <c r="E138" s="1" t="s">
        <v>525</v>
      </c>
      <c r="F138" s="4">
        <v>44587</v>
      </c>
      <c r="G138" s="4">
        <f>IF(F138="","",EDATE(F138,12)-1)</f>
        <v>44951</v>
      </c>
      <c r="H138" s="1" t="str">
        <f>IFERROR(INDEX(tblAudits[Audit Type],MATCH(B138,tblAudits[Audit ID],0)),"")</f>
        <v>HVNL Management Plan</v>
      </c>
      <c r="I138" s="1" t="str">
        <f>IF(J138="","",IFERROR(INDEX(tblOrgs[Client Name],MATCH(J138,tblOrgs[Client ABN],0)),""))</f>
        <v>Mataniel Laurate Pty Ltd</v>
      </c>
      <c r="J138" s="1">
        <f>IFERROR(INDEX(tblAudits[Client ABN],MATCH(B138,tblAudits[Audit ID],0)),"")</f>
        <v>37094906028</v>
      </c>
      <c r="K138" s="1"/>
    </row>
    <row r="139" spans="1:11" x14ac:dyDescent="0.25">
      <c r="A139" s="1" t="s">
        <v>916</v>
      </c>
      <c r="B139" s="1" t="s">
        <v>210</v>
      </c>
      <c r="C139" s="1" t="s">
        <v>917</v>
      </c>
      <c r="D139" s="1">
        <v>1</v>
      </c>
      <c r="E139" s="1" t="s">
        <v>525</v>
      </c>
      <c r="F139" s="4">
        <v>44588</v>
      </c>
      <c r="G139" s="4">
        <f>IF(F139="","",EDATE(F139,12)-1)</f>
        <v>44952</v>
      </c>
      <c r="H139" s="1" t="str">
        <f>IFERROR(INDEX(tblAudits[Audit Type],MATCH(B139,tblAudits[Audit ID],0)),"")</f>
        <v>HVNL Management Plan</v>
      </c>
      <c r="I139" s="1" t="str">
        <f>IF(J139="","",IFERROR(INDEX(tblOrgs[Client Name],MATCH(J139,tblOrgs[Client ABN],0)),""))</f>
        <v>Refire Group Pty Ltd</v>
      </c>
      <c r="J139" s="1">
        <f>IFERROR(INDEX(tblAudits[Client ABN],MATCH(B139,tblAudits[Audit ID],0)),"")</f>
        <v>72633993218</v>
      </c>
      <c r="K139" s="1"/>
    </row>
    <row r="140" spans="1:11" x14ac:dyDescent="0.25">
      <c r="A140" s="1" t="s">
        <v>864</v>
      </c>
      <c r="B140" s="1" t="s">
        <v>184</v>
      </c>
      <c r="C140" s="1" t="s">
        <v>865</v>
      </c>
      <c r="D140" s="1">
        <v>1</v>
      </c>
      <c r="E140" s="1" t="s">
        <v>525</v>
      </c>
      <c r="F140" s="4">
        <v>44618</v>
      </c>
      <c r="G140" s="4">
        <f>IF(F140="","",EDATE(F140,12)-1)</f>
        <v>44982</v>
      </c>
      <c r="H140" s="1" t="str">
        <f>IFERROR(INDEX(tblAudits[Audit Type],MATCH(B140,tblAudits[Audit ID],0)),"")</f>
        <v>HVNL Management Plan</v>
      </c>
      <c r="I140" s="1" t="str">
        <f>IF(J140="","",IFERROR(INDEX(tblOrgs[Client Name],MATCH(J140,tblOrgs[Client ABN],0)),""))</f>
        <v>Fugen Masonry Contractors (Qld) Pty Limited</v>
      </c>
      <c r="J140" s="1">
        <f>IFERROR(INDEX(tblAudits[Client ABN],MATCH(B140,tblAudits[Audit ID],0)),"")</f>
        <v>75097686130</v>
      </c>
      <c r="K140" s="1"/>
    </row>
    <row r="141" spans="1:11" x14ac:dyDescent="0.25">
      <c r="A141" s="1" t="s">
        <v>678</v>
      </c>
      <c r="B141" s="1" t="s">
        <v>91</v>
      </c>
      <c r="C141" s="1" t="s">
        <v>679</v>
      </c>
      <c r="D141" s="1">
        <v>1</v>
      </c>
      <c r="E141" s="1" t="s">
        <v>525</v>
      </c>
      <c r="F141" s="4">
        <v>44553</v>
      </c>
      <c r="G141" s="4">
        <f>IF(F141="","",EDATE(F141,12)-1)</f>
        <v>44917</v>
      </c>
      <c r="H141" s="1" t="str">
        <f>IFERROR(INDEX(tblAudits[Audit Type],MATCH(B141,tblAudits[Audit ID],0)),"")</f>
        <v>HVNL Management Plan</v>
      </c>
      <c r="I141" s="1" t="str">
        <f>IF(J141="","",IFERROR(INDEX(tblOrgs[Client Name],MATCH(J141,tblOrgs[Client ABN],0)),""))</f>
        <v>Eire Midland Constructions Pty Ltd</v>
      </c>
      <c r="J141" s="1">
        <f>IFERROR(INDEX(tblAudits[Client ABN],MATCH(B141,tblAudits[Audit ID],0)),"")</f>
        <v>45079929687</v>
      </c>
      <c r="K141" s="1"/>
    </row>
    <row r="142" spans="1:11" x14ac:dyDescent="0.25">
      <c r="A142" s="1" t="s">
        <v>914</v>
      </c>
      <c r="B142" s="1" t="s">
        <v>209</v>
      </c>
      <c r="C142" s="1" t="s">
        <v>915</v>
      </c>
      <c r="D142" s="1">
        <v>1</v>
      </c>
      <c r="E142" s="1" t="s">
        <v>525</v>
      </c>
      <c r="F142" s="4">
        <v>44585</v>
      </c>
      <c r="G142" s="4">
        <f>IF(F142="","",EDATE(F142,12)-1)</f>
        <v>44949</v>
      </c>
      <c r="H142" s="1" t="str">
        <f>IFERROR(INDEX(tblAudits[Audit Type],MATCH(B142,tblAudits[Audit ID],0)),"")</f>
        <v>HVNL Management Plan</v>
      </c>
      <c r="I142" s="1" t="str">
        <f>IF(J142="","",IFERROR(INDEX(tblOrgs[Client Name],MATCH(J142,tblOrgs[Client ABN],0)),""))</f>
        <v>Rail Control Systems Australia Pty Ltd</v>
      </c>
      <c r="J142" s="1">
        <f>IFERROR(INDEX(tblAudits[Client ABN],MATCH(B142,tblAudits[Audit ID],0)),"")</f>
        <v>42137934055</v>
      </c>
      <c r="K142" s="1"/>
    </row>
    <row r="143" spans="1:11" x14ac:dyDescent="0.25">
      <c r="A143" s="1" t="s">
        <v>854</v>
      </c>
      <c r="B143" s="1" t="s">
        <v>179</v>
      </c>
      <c r="C143" s="1" t="s">
        <v>855</v>
      </c>
      <c r="D143" s="1">
        <v>1</v>
      </c>
      <c r="E143" s="1" t="s">
        <v>525</v>
      </c>
      <c r="F143" s="4">
        <v>44609</v>
      </c>
      <c r="G143" s="4">
        <f>IF(F143="","",EDATE(F143,12)-1)</f>
        <v>44973</v>
      </c>
      <c r="H143" s="1" t="str">
        <f>IFERROR(INDEX(tblAudits[Audit Type],MATCH(B143,tblAudits[Audit ID],0)),"")</f>
        <v>HVNL Management Plan</v>
      </c>
      <c r="I143" s="1" t="str">
        <f>IF(J143="","",IFERROR(INDEX(tblOrgs[Client Name],MATCH(J143,tblOrgs[Client ABN],0)),""))</f>
        <v>Evolution Group Holdings Pty Ltd</v>
      </c>
      <c r="J143" s="1">
        <f>IFERROR(INDEX(tblAudits[Client ABN],MATCH(B143,tblAudits[Audit ID],0)),"")</f>
        <v>14147834133</v>
      </c>
      <c r="K143" s="1"/>
    </row>
    <row r="144" spans="1:11" x14ac:dyDescent="0.25">
      <c r="A144" s="1" t="s">
        <v>954</v>
      </c>
      <c r="B144" s="1" t="s">
        <v>229</v>
      </c>
      <c r="C144" s="1" t="s">
        <v>955</v>
      </c>
      <c r="D144" s="1">
        <v>1</v>
      </c>
      <c r="E144" s="1" t="s">
        <v>525</v>
      </c>
      <c r="F144" s="4">
        <v>44614</v>
      </c>
      <c r="G144" s="4">
        <f>IF(F144="","",EDATE(F144,12)-1)</f>
        <v>44978</v>
      </c>
      <c r="H144" s="1" t="str">
        <f>IFERROR(INDEX(tblAudits[Audit Type],MATCH(B144,tblAudits[Audit ID],0)),"")</f>
        <v>HVNL Management Plan</v>
      </c>
      <c r="I144" s="1" t="str">
        <f>IF(J144="","",IFERROR(INDEX(tblOrgs[Client Name],MATCH(J144,tblOrgs[Client ABN],0)),""))</f>
        <v>Whyte Civil Pty Ltd</v>
      </c>
      <c r="J144" s="1">
        <f>IFERROR(INDEX(tblAudits[Client ABN],MATCH(B144,tblAudits[Audit ID],0)),"")</f>
        <v>34167594685</v>
      </c>
      <c r="K144" s="1"/>
    </row>
    <row r="145" spans="1:11" x14ac:dyDescent="0.25">
      <c r="A145" s="1" t="s">
        <v>882</v>
      </c>
      <c r="B145" s="1" t="s">
        <v>193</v>
      </c>
      <c r="C145" s="1" t="s">
        <v>883</v>
      </c>
      <c r="D145" s="1">
        <v>1</v>
      </c>
      <c r="E145" s="1" t="s">
        <v>525</v>
      </c>
      <c r="F145" s="4">
        <v>44614</v>
      </c>
      <c r="G145" s="4">
        <f>IF(F145="","",EDATE(F145,12)-1)</f>
        <v>44978</v>
      </c>
      <c r="H145" s="1" t="str">
        <f>IFERROR(INDEX(tblAudits[Audit Type],MATCH(B145,tblAudits[Audit ID],0)),"")</f>
        <v>HVNL Management Plan</v>
      </c>
      <c r="I145" s="1" t="str">
        <f>IF(J145="","",IFERROR(INDEX(tblOrgs[Client Name],MATCH(J145,tblOrgs[Client ABN],0)),""))</f>
        <v>Kenro Products Pty Ltd</v>
      </c>
      <c r="J145" s="1">
        <f>IFERROR(INDEX(tblAudits[Client ABN],MATCH(B145,tblAudits[Audit ID],0)),"")</f>
        <v>73065624295</v>
      </c>
      <c r="K145" s="1"/>
    </row>
    <row r="146" spans="1:11" x14ac:dyDescent="0.25">
      <c r="A146" s="1" t="s">
        <v>830</v>
      </c>
      <c r="B146" s="1" t="s">
        <v>167</v>
      </c>
      <c r="C146" s="1" t="s">
        <v>831</v>
      </c>
      <c r="D146" s="1">
        <v>1</v>
      </c>
      <c r="E146" s="1" t="s">
        <v>525</v>
      </c>
      <c r="F146" s="4">
        <v>44602</v>
      </c>
      <c r="G146" s="4">
        <f>IF(F146="","",EDATE(F146,12)-1)</f>
        <v>44966</v>
      </c>
      <c r="H146" s="1" t="str">
        <f>IFERROR(INDEX(tblAudits[Audit Type],MATCH(B146,tblAudits[Audit ID],0)),"")</f>
        <v>HVNL Management Plan</v>
      </c>
      <c r="I146" s="1" t="str">
        <f>IF(J146="","",IFERROR(INDEX(tblOrgs[Client Name],MATCH(J146,tblOrgs[Client ABN],0)),""))</f>
        <v>Chess Engineering Pty Ltd</v>
      </c>
      <c r="J146" s="1">
        <f>IFERROR(INDEX(tblAudits[Client ABN],MATCH(B146,tblAudits[Audit ID],0)),"")</f>
        <v>37000615056</v>
      </c>
      <c r="K146" s="1"/>
    </row>
    <row r="147" spans="1:11" x14ac:dyDescent="0.25">
      <c r="A147" s="1" t="s">
        <v>798</v>
      </c>
      <c r="B147" s="1" t="s">
        <v>151</v>
      </c>
      <c r="C147" s="1" t="s">
        <v>799</v>
      </c>
      <c r="D147" s="1">
        <v>1</v>
      </c>
      <c r="E147" s="1" t="s">
        <v>525</v>
      </c>
      <c r="F147" s="4">
        <v>44400</v>
      </c>
      <c r="G147" s="4">
        <f>IF(F147="","",EDATE(F147,12)-1)</f>
        <v>44764</v>
      </c>
      <c r="H147" s="1" t="str">
        <f>IFERROR(INDEX(tblAudits[Audit Type],MATCH(B147,tblAudits[Audit ID],0)),"")</f>
        <v>WHS Management System</v>
      </c>
      <c r="I147" s="1" t="str">
        <f>IF(J147="","",IFERROR(INDEX(tblOrgs[Client Name],MATCH(J147,tblOrgs[Client ABN],0)),""))</f>
        <v>STG Pumps Pty Ltd</v>
      </c>
      <c r="J147" s="1">
        <f>IFERROR(INDEX(tblAudits[Client ABN],MATCH(B147,tblAudits[Audit ID],0)),"")</f>
        <v>61602493872</v>
      </c>
      <c r="K147" s="1"/>
    </row>
    <row r="148" spans="1:11" x14ac:dyDescent="0.25">
      <c r="A148" s="1" t="s">
        <v>826</v>
      </c>
      <c r="B148" s="1" t="s">
        <v>165</v>
      </c>
      <c r="C148" s="1" t="s">
        <v>827</v>
      </c>
      <c r="D148" s="1">
        <v>1</v>
      </c>
      <c r="E148" s="1" t="s">
        <v>525</v>
      </c>
      <c r="F148" s="4">
        <v>44628</v>
      </c>
      <c r="G148" s="4">
        <f>IF(F148="","",EDATE(F148,12)-1)</f>
        <v>44992</v>
      </c>
      <c r="H148" s="1" t="str">
        <f>IFERROR(INDEX(tblAudits[Audit Type],MATCH(B148,tblAudits[Audit ID],0)),"")</f>
        <v>HVNL Management Plan</v>
      </c>
      <c r="I148" s="1" t="str">
        <f>IF(J148="","",IFERROR(INDEX(tblOrgs[Client Name],MATCH(J148,tblOrgs[Client ABN],0)),""))</f>
        <v>CDC Investment Group Pty Ltd</v>
      </c>
      <c r="J148" s="1">
        <f>IFERROR(INDEX(tblAudits[Client ABN],MATCH(B148,tblAudits[Audit ID],0)),"")</f>
        <v>11158707629</v>
      </c>
      <c r="K148" s="1"/>
    </row>
    <row r="149" spans="1:11" x14ac:dyDescent="0.25">
      <c r="A149" s="1" t="s">
        <v>812</v>
      </c>
      <c r="B149" s="1" t="s">
        <v>158</v>
      </c>
      <c r="C149" s="1" t="s">
        <v>813</v>
      </c>
      <c r="D149" s="1">
        <v>1</v>
      </c>
      <c r="E149" s="1" t="s">
        <v>525</v>
      </c>
      <c r="F149" s="4">
        <v>44629</v>
      </c>
      <c r="G149" s="4">
        <f>IF(F149="","",EDATE(F149,12)-1)</f>
        <v>44993</v>
      </c>
      <c r="H149" s="1" t="str">
        <f>IFERROR(INDEX(tblAudits[Audit Type],MATCH(B149,tblAudits[Audit ID],0)),"")</f>
        <v>HVNL Management Plan</v>
      </c>
      <c r="I149" s="1" t="str">
        <f>IF(J149="","",IFERROR(INDEX(tblOrgs[Client Name],MATCH(J149,tblOrgs[Client ABN],0)),""))</f>
        <v>Ardee Civil Pty Ltd</v>
      </c>
      <c r="J149" s="1">
        <f>IFERROR(INDEX(tblAudits[Client ABN],MATCH(B149,tblAudits[Audit ID],0)),"")</f>
        <v>98050056105</v>
      </c>
      <c r="K149" s="1"/>
    </row>
    <row r="150" spans="1:11" x14ac:dyDescent="0.25">
      <c r="A150" s="1" t="s">
        <v>948</v>
      </c>
      <c r="B150" s="1" t="s">
        <v>226</v>
      </c>
      <c r="C150" s="1" t="s">
        <v>949</v>
      </c>
      <c r="D150" s="1">
        <v>1</v>
      </c>
      <c r="E150" s="1" t="s">
        <v>525</v>
      </c>
      <c r="F150" s="4">
        <v>44641</v>
      </c>
      <c r="G150" s="4">
        <f>IF(F150="","",EDATE(F150,12)-1)</f>
        <v>45005</v>
      </c>
      <c r="H150" s="1" t="str">
        <f>IFERROR(INDEX(tblAudits[Audit Type],MATCH(B150,tblAudits[Audit ID],0)),"")</f>
        <v>HVNL Management Plan</v>
      </c>
      <c r="I150" s="1" t="str">
        <f>IF(J150="","",IFERROR(INDEX(tblOrgs[Client Name],MATCH(J150,tblOrgs[Client ABN],0)),""))</f>
        <v>Wallace Concrete Pumping Pty Ltd</v>
      </c>
      <c r="J150" s="1">
        <f>IFERROR(INDEX(tblAudits[Client ABN],MATCH(B150,tblAudits[Audit ID],0)),"")</f>
        <v>49157958177</v>
      </c>
      <c r="K150" s="1"/>
    </row>
    <row r="151" spans="1:11" x14ac:dyDescent="0.25">
      <c r="A151" s="1" t="s">
        <v>834</v>
      </c>
      <c r="B151" s="1" t="s">
        <v>169</v>
      </c>
      <c r="C151" s="1" t="s">
        <v>835</v>
      </c>
      <c r="D151" s="1">
        <v>1</v>
      </c>
      <c r="E151" s="1" t="s">
        <v>525</v>
      </c>
      <c r="F151" s="4">
        <v>44641</v>
      </c>
      <c r="G151" s="4">
        <f>IF(F151="","",EDATE(F151,12)-1)</f>
        <v>45005</v>
      </c>
      <c r="H151" s="1" t="str">
        <f>IFERROR(INDEX(tblAudits[Audit Type],MATCH(B151,tblAudits[Audit ID],0)),"")</f>
        <v>HVNL Management Plan</v>
      </c>
      <c r="I151" s="1" t="str">
        <f>IF(J151="","",IFERROR(INDEX(tblOrgs[Client Name],MATCH(J151,tblOrgs[Client ABN],0)),""))</f>
        <v>Complete I.T.S Group Pty Ltd</v>
      </c>
      <c r="J151" s="1">
        <f>IFERROR(INDEX(tblAudits[Client ABN],MATCH(B151,tblAudits[Audit ID],0)),"")</f>
        <v>42615203800</v>
      </c>
      <c r="K151" s="1"/>
    </row>
    <row r="152" spans="1:11" x14ac:dyDescent="0.25">
      <c r="A152" s="1" t="s">
        <v>856</v>
      </c>
      <c r="B152" s="1" t="s">
        <v>180</v>
      </c>
      <c r="C152" s="1" t="s">
        <v>857</v>
      </c>
      <c r="D152" s="1">
        <v>1</v>
      </c>
      <c r="E152" s="1" t="s">
        <v>525</v>
      </c>
      <c r="F152" s="4">
        <v>44643</v>
      </c>
      <c r="G152" s="4">
        <f>IF(F152="","",EDATE(F152,12)-1)</f>
        <v>45007</v>
      </c>
      <c r="H152" s="1" t="str">
        <f>IFERROR(INDEX(tblAudits[Audit Type],MATCH(B152,tblAudits[Audit ID],0)),"")</f>
        <v>HVNL Management Plan</v>
      </c>
      <c r="I152" s="1" t="str">
        <f>IF(J152="","",IFERROR(INDEX(tblOrgs[Client Name],MATCH(J152,tblOrgs[Client ABN],0)),""))</f>
        <v>Fredon (Vic) Electrical Pty Ltd</v>
      </c>
      <c r="J152" s="1">
        <f>IFERROR(INDEX(tblAudits[Client ABN],MATCH(B152,tblAudits[Audit ID],0)),"")</f>
        <v>99621855025</v>
      </c>
      <c r="K152" s="1"/>
    </row>
    <row r="153" spans="1:11" x14ac:dyDescent="0.25">
      <c r="A153" s="1" t="s">
        <v>820</v>
      </c>
      <c r="B153" s="1" t="s">
        <v>162</v>
      </c>
      <c r="C153" s="1" t="s">
        <v>821</v>
      </c>
      <c r="D153" s="1">
        <v>1</v>
      </c>
      <c r="E153" s="1" t="s">
        <v>525</v>
      </c>
      <c r="F153" s="4">
        <v>44645</v>
      </c>
      <c r="G153" s="4">
        <f>IF(F153="","",EDATE(F153,12)-1)</f>
        <v>45009</v>
      </c>
      <c r="H153" s="1" t="str">
        <f>IFERROR(INDEX(tblAudits[Audit Type],MATCH(B153,tblAudits[Audit ID],0)),"")</f>
        <v>HVNL Management Plan</v>
      </c>
      <c r="I153" s="1" t="str">
        <f>IF(J153="","",IFERROR(INDEX(tblOrgs[Client Name],MATCH(J153,tblOrgs[Client ABN],0)),""))</f>
        <v>Avopiling Services (NSW) Pty Ltd</v>
      </c>
      <c r="J153" s="1">
        <f>IFERROR(INDEX(tblAudits[Client ABN],MATCH(B153,tblAudits[Audit ID],0)),"")</f>
        <v>11165683349</v>
      </c>
      <c r="K153" s="1"/>
    </row>
    <row r="154" spans="1:11" x14ac:dyDescent="0.25">
      <c r="A154" s="1" t="s">
        <v>922</v>
      </c>
      <c r="B154" s="1" t="s">
        <v>213</v>
      </c>
      <c r="C154" s="1" t="s">
        <v>923</v>
      </c>
      <c r="D154" s="1">
        <v>1</v>
      </c>
      <c r="E154" s="1" t="s">
        <v>525</v>
      </c>
      <c r="F154" s="4">
        <v>44648</v>
      </c>
      <c r="G154" s="4">
        <f>IF(F154="","",EDATE(F154,12)-1)</f>
        <v>45012</v>
      </c>
      <c r="H154" s="1" t="str">
        <f>IFERROR(INDEX(tblAudits[Audit Type],MATCH(B154,tblAudits[Audit ID],0)),"")</f>
        <v>HVNL Management Plan</v>
      </c>
      <c r="I154" s="1" t="str">
        <f>IF(J154="","",IFERROR(INDEX(tblOrgs[Client Name],MATCH(J154,tblOrgs[Client ABN],0)),""))</f>
        <v>Seadar Contractors Pty Ltd</v>
      </c>
      <c r="J154" s="1">
        <f>IFERROR(INDEX(tblAudits[Client ABN],MATCH(B154,tblAudits[Audit ID],0)),"")</f>
        <v>52600073087</v>
      </c>
      <c r="K154" s="1"/>
    </row>
    <row r="155" spans="1:11" x14ac:dyDescent="0.25">
      <c r="A155" s="1" t="s">
        <v>942</v>
      </c>
      <c r="B155" s="1" t="s">
        <v>223</v>
      </c>
      <c r="C155" s="1" t="s">
        <v>943</v>
      </c>
      <c r="D155" s="1">
        <v>1</v>
      </c>
      <c r="E155" s="1" t="s">
        <v>525</v>
      </c>
      <c r="F155" s="4">
        <v>44662</v>
      </c>
      <c r="G155" s="4">
        <f>IF(F155="","",EDATE(F155,12)-1)</f>
        <v>45026</v>
      </c>
      <c r="H155" s="1" t="str">
        <f>IFERROR(INDEX(tblAudits[Audit Type],MATCH(B155,tblAudits[Audit ID],0)),"")</f>
        <v>HVNL Management Plan</v>
      </c>
      <c r="I155" s="1" t="str">
        <f>IF(J155="","",IFERROR(INDEX(tblOrgs[Client Name],MATCH(J155,tblOrgs[Client ABN],0)),""))</f>
        <v>Two Way Cranes Pty Ltd</v>
      </c>
      <c r="J155" s="1">
        <f>IFERROR(INDEX(tblAudits[Client ABN],MATCH(B155,tblAudits[Audit ID],0)),"")</f>
        <v>91160983246</v>
      </c>
      <c r="K155" s="1"/>
    </row>
    <row r="156" spans="1:11" x14ac:dyDescent="0.25">
      <c r="A156" s="1" t="s">
        <v>936</v>
      </c>
      <c r="B156" s="1" t="s">
        <v>220</v>
      </c>
      <c r="C156" s="1" t="s">
        <v>937</v>
      </c>
      <c r="D156" s="1">
        <v>1</v>
      </c>
      <c r="E156" s="1" t="s">
        <v>525</v>
      </c>
      <c r="F156" s="4">
        <v>44663</v>
      </c>
      <c r="G156" s="4">
        <f>IF(F156="","",EDATE(F156,12)-1)</f>
        <v>45027</v>
      </c>
      <c r="H156" s="1" t="str">
        <f>IFERROR(INDEX(tblAudits[Audit Type],MATCH(B156,tblAudits[Audit ID],0)),"")</f>
        <v>HVNL Management Plan</v>
      </c>
      <c r="I156" s="1" t="str">
        <f>IF(J156="","",IFERROR(INDEX(tblOrgs[Client Name],MATCH(J156,tblOrgs[Client ABN],0)),""))</f>
        <v>T &amp; M Southern Cranes Pty Ltd</v>
      </c>
      <c r="J156" s="1">
        <f>IFERROR(INDEX(tblAudits[Client ABN],MATCH(B156,tblAudits[Audit ID],0)),"")</f>
        <v>99006697338</v>
      </c>
      <c r="K156" s="1"/>
    </row>
    <row r="157" spans="1:11" x14ac:dyDescent="0.25">
      <c r="A157" s="1" t="s">
        <v>850</v>
      </c>
      <c r="B157" s="1" t="s">
        <v>177</v>
      </c>
      <c r="C157" s="1" t="s">
        <v>851</v>
      </c>
      <c r="D157" s="1">
        <v>1</v>
      </c>
      <c r="E157" s="1" t="s">
        <v>525</v>
      </c>
      <c r="F157" s="4">
        <v>44679</v>
      </c>
      <c r="G157" s="4">
        <f>IF(F157="","",EDATE(F157,12)-1)</f>
        <v>45043</v>
      </c>
      <c r="H157" s="1" t="str">
        <f>IFERROR(INDEX(tblAudits[Audit Type],MATCH(B157,tblAudits[Audit ID],0)),"")</f>
        <v>HVNL Management Plan</v>
      </c>
      <c r="I157" s="1" t="str">
        <f>IF(J157="","",IFERROR(INDEX(tblOrgs[Client Name],MATCH(J157,tblOrgs[Client ABN],0)),""))</f>
        <v>Egans Plant Hire Pty Ltd</v>
      </c>
      <c r="J157" s="1">
        <f>IFERROR(INDEX(tblAudits[Client ABN],MATCH(B157,tblAudits[Audit ID],0)),"")</f>
        <v>50077737396</v>
      </c>
      <c r="K157" s="1"/>
    </row>
    <row r="158" spans="1:11" x14ac:dyDescent="0.25">
      <c r="A158" s="1" t="s">
        <v>904</v>
      </c>
      <c r="B158" s="1" t="s">
        <v>204</v>
      </c>
      <c r="C158" s="1" t="s">
        <v>905</v>
      </c>
      <c r="D158" s="1">
        <v>1</v>
      </c>
      <c r="E158" s="1" t="s">
        <v>525</v>
      </c>
      <c r="F158" s="4">
        <v>44680</v>
      </c>
      <c r="G158" s="4">
        <f>IF(F158="","",EDATE(F158,12)-1)</f>
        <v>45044</v>
      </c>
      <c r="H158" s="1" t="str">
        <f>IFERROR(INDEX(tblAudits[Audit Type],MATCH(B158,tblAudits[Audit ID],0)),"")</f>
        <v>HVNL Management Plan</v>
      </c>
      <c r="I158" s="1" t="str">
        <f>IF(J158="","",IFERROR(INDEX(tblOrgs[Client Name],MATCH(J158,tblOrgs[Client ABN],0)),""))</f>
        <v>Network Connex Pty Ltd</v>
      </c>
      <c r="J158" s="1">
        <f>IFERROR(INDEX(tblAudits[Client ABN],MATCH(B158,tblAudits[Audit ID],0)),"")</f>
        <v>94623690031</v>
      </c>
      <c r="K158" s="1"/>
    </row>
    <row r="159" spans="1:11" x14ac:dyDescent="0.25">
      <c r="A159" s="1" t="s">
        <v>840</v>
      </c>
      <c r="B159" s="1" t="s">
        <v>172</v>
      </c>
      <c r="C159" s="1" t="s">
        <v>841</v>
      </c>
      <c r="D159" s="1">
        <v>1</v>
      </c>
      <c r="E159" s="1" t="s">
        <v>525</v>
      </c>
      <c r="F159" s="4">
        <v>44685</v>
      </c>
      <c r="G159" s="4">
        <f>IF(F159="","",EDATE(F159,12)-1)</f>
        <v>45049</v>
      </c>
      <c r="H159" s="1" t="str">
        <f>IFERROR(INDEX(tblAudits[Audit Type],MATCH(B159,tblAudits[Audit ID],0)),"")</f>
        <v>HVNL Management Plan</v>
      </c>
      <c r="I159" s="1" t="str">
        <f>IF(J159="","",IFERROR(INDEX(tblOrgs[Client Name],MATCH(J159,tblOrgs[Client ABN],0)),""))</f>
        <v>Cubis Systems Australia Pty Ltd</v>
      </c>
      <c r="J159" s="1">
        <f>IFERROR(INDEX(tblAudits[Client ABN],MATCH(B159,tblAudits[Audit ID],0)),"")</f>
        <v>88108718350</v>
      </c>
      <c r="K159" s="1"/>
    </row>
    <row r="160" spans="1:11" x14ac:dyDescent="0.25">
      <c r="A160" s="1" t="s">
        <v>952</v>
      </c>
      <c r="B160" s="1" t="s">
        <v>228</v>
      </c>
      <c r="C160" s="1" t="s">
        <v>953</v>
      </c>
      <c r="D160" s="1">
        <v>1</v>
      </c>
      <c r="E160" s="1" t="s">
        <v>525</v>
      </c>
      <c r="F160" s="4">
        <v>44691</v>
      </c>
      <c r="G160" s="4">
        <f>IF(F160="","",EDATE(F160,12)-1)</f>
        <v>45055</v>
      </c>
      <c r="H160" s="1" t="str">
        <f>IFERROR(INDEX(tblAudits[Audit Type],MATCH(B160,tblAudits[Audit ID],0)),"")</f>
        <v>HVNL Management Plan</v>
      </c>
      <c r="I160" s="1" t="str">
        <f>IF(J160="","",IFERROR(INDEX(tblOrgs[Client Name],MATCH(J160,tblOrgs[Client ABN],0)),""))</f>
        <v>Westkon Precast Pty Ltd</v>
      </c>
      <c r="J160" s="1">
        <f>IFERROR(INDEX(tblAudits[Client ABN],MATCH(B160,tblAudits[Audit ID],0)),"")</f>
        <v>92107423156</v>
      </c>
      <c r="K160" s="1"/>
    </row>
    <row r="161" spans="1:11" x14ac:dyDescent="0.25">
      <c r="A161" s="1" t="s">
        <v>804</v>
      </c>
      <c r="B161" s="1" t="s">
        <v>154</v>
      </c>
      <c r="C161" s="1" t="s">
        <v>805</v>
      </c>
      <c r="D161" s="1">
        <v>1</v>
      </c>
      <c r="E161" s="1" t="s">
        <v>525</v>
      </c>
      <c r="F161" s="4">
        <v>44705</v>
      </c>
      <c r="G161" s="4">
        <f>IF(F161="","",EDATE(F161,12)-1)</f>
        <v>45069</v>
      </c>
      <c r="H161" s="1" t="str">
        <f>IFERROR(INDEX(tblAudits[Audit Type],MATCH(B161,tblAudits[Audit ID],0)),"")</f>
        <v>HVNL Management Plan</v>
      </c>
      <c r="I161" s="1" t="str">
        <f>IF(J161="","",IFERROR(INDEX(tblOrgs[Client Name],MATCH(J161,tblOrgs[Client ABN],0)),""))</f>
        <v>A C Whalan &amp; Co Pty Ltd</v>
      </c>
      <c r="J161" s="1">
        <f>IFERROR(INDEX(tblAudits[Client ABN],MATCH(B161,tblAudits[Audit ID],0)),"")</f>
        <v>90003499849</v>
      </c>
      <c r="K161" s="1"/>
    </row>
    <row r="162" spans="1:11" x14ac:dyDescent="0.25">
      <c r="A162" s="1" t="s">
        <v>838</v>
      </c>
      <c r="B162" s="1" t="s">
        <v>171</v>
      </c>
      <c r="C162" s="1" t="s">
        <v>839</v>
      </c>
      <c r="D162" s="1">
        <v>1</v>
      </c>
      <c r="E162" s="1" t="s">
        <v>525</v>
      </c>
      <c r="F162" s="4">
        <v>44712</v>
      </c>
      <c r="G162" s="4">
        <f>IF(F162="","",EDATE(F162,12)-1)</f>
        <v>45076</v>
      </c>
      <c r="H162" s="1" t="str">
        <f>IFERROR(INDEX(tblAudits[Audit Type],MATCH(B162,tblAudits[Audit ID],0)),"")</f>
        <v>HVNL Management Plan</v>
      </c>
      <c r="I162" s="1" t="str">
        <f>IF(J162="","",IFERROR(INDEX(tblOrgs[Client Name],MATCH(J162,tblOrgs[Client ABN],0)),""))</f>
        <v>CSA Specialised Services Pty Ltd</v>
      </c>
      <c r="J162" s="1">
        <f>IFERROR(INDEX(tblAudits[Client ABN],MATCH(B162,tblAudits[Audit ID],0)),"")</f>
        <v>11757908807</v>
      </c>
      <c r="K162" s="1"/>
    </row>
    <row r="163" spans="1:11" x14ac:dyDescent="0.25">
      <c r="A163" s="1" t="s">
        <v>874</v>
      </c>
      <c r="B163" s="1" t="s">
        <v>189</v>
      </c>
      <c r="C163" s="1" t="s">
        <v>875</v>
      </c>
      <c r="D163" s="1">
        <v>1</v>
      </c>
      <c r="E163" s="1" t="s">
        <v>525</v>
      </c>
      <c r="F163" s="4">
        <v>44719</v>
      </c>
      <c r="G163" s="4">
        <f>IF(F163="","",EDATE(F163,12)-1)</f>
        <v>45083</v>
      </c>
      <c r="H163" s="1" t="str">
        <f>IFERROR(INDEX(tblAudits[Audit Type],MATCH(B163,tblAudits[Audit ID],0)),"")</f>
        <v>HVNL Management Plan</v>
      </c>
      <c r="I163" s="1" t="str">
        <f>IF(J163="","",IFERROR(INDEX(tblOrgs[Client Name],MATCH(J163,tblOrgs[Client ABN],0)),""))</f>
        <v>Holcim (Australia) Pty Ltd</v>
      </c>
      <c r="J163" s="1">
        <f>IFERROR(INDEX(tblAudits[Client ABN],MATCH(B163,tblAudits[Audit ID],0)),"")</f>
        <v>87099732297</v>
      </c>
      <c r="K163" s="1"/>
    </row>
    <row r="164" spans="1:11" x14ac:dyDescent="0.25">
      <c r="A164" s="1" t="s">
        <v>808</v>
      </c>
      <c r="B164" s="1" t="s">
        <v>156</v>
      </c>
      <c r="C164" s="1" t="s">
        <v>809</v>
      </c>
      <c r="D164" s="1">
        <v>1</v>
      </c>
      <c r="E164" s="1" t="s">
        <v>525</v>
      </c>
      <c r="F164" s="4">
        <v>44726</v>
      </c>
      <c r="G164" s="4">
        <f>IF(F164="","",EDATE(F164,12)-1)</f>
        <v>45090</v>
      </c>
      <c r="H164" s="1" t="str">
        <f>IFERROR(INDEX(tblAudits[Audit Type],MATCH(B164,tblAudits[Audit ID],0)),"")</f>
        <v>HVNL Management Plan</v>
      </c>
      <c r="I164" s="1" t="str">
        <f>IF(J164="","",IFERROR(INDEX(tblOrgs[Client Name],MATCH(J164,tblOrgs[Client ABN],0)),""))</f>
        <v>Abyss Construction Pty Ltd</v>
      </c>
      <c r="J164" s="1">
        <f>IFERROR(INDEX(tblAudits[Client ABN],MATCH(B164,tblAudits[Audit ID],0)),"")</f>
        <v>50614066223</v>
      </c>
      <c r="K164" s="1"/>
    </row>
    <row r="165" spans="1:11" x14ac:dyDescent="0.25">
      <c r="A165" s="1" t="s">
        <v>890</v>
      </c>
      <c r="B165" s="1" t="s">
        <v>197</v>
      </c>
      <c r="C165" s="1" t="s">
        <v>891</v>
      </c>
      <c r="D165" s="1">
        <v>1</v>
      </c>
      <c r="E165" s="1" t="s">
        <v>525</v>
      </c>
      <c r="F165" s="4">
        <v>44746</v>
      </c>
      <c r="G165" s="4">
        <f>IF(F165="","",EDATE(F165,12)-1)</f>
        <v>45110</v>
      </c>
      <c r="H165" s="1" t="str">
        <f>IFERROR(INDEX(tblAudits[Audit Type],MATCH(B165,tblAudits[Audit ID],0)),"")</f>
        <v>HVNL Management Plan</v>
      </c>
      <c r="I165" s="1" t="str">
        <f>IF(J165="","",IFERROR(INDEX(tblOrgs[Client Name],MATCH(J165,tblOrgs[Client ABN],0)),""))</f>
        <v>Made Contracting Pty Ltd</v>
      </c>
      <c r="J165" s="1">
        <f>IFERROR(INDEX(tblAudits[Client ABN],MATCH(B165,tblAudits[Audit ID],0)),"")</f>
        <v>98082765697</v>
      </c>
      <c r="K165" s="1"/>
    </row>
    <row r="166" spans="1:11" x14ac:dyDescent="0.25">
      <c r="A166" s="1" t="s">
        <v>844</v>
      </c>
      <c r="B166" s="1" t="s">
        <v>174</v>
      </c>
      <c r="C166" s="1" t="s">
        <v>845</v>
      </c>
      <c r="D166" s="1">
        <v>1</v>
      </c>
      <c r="E166" s="1" t="s">
        <v>525</v>
      </c>
      <c r="F166" s="4">
        <v>44749</v>
      </c>
      <c r="G166" s="4">
        <f>IF(F166="","",EDATE(F166,12)-1)</f>
        <v>45113</v>
      </c>
      <c r="H166" s="1" t="str">
        <f>IFERROR(INDEX(tblAudits[Audit Type],MATCH(B166,tblAudits[Audit ID],0)),"")</f>
        <v>HVNL Management Plan</v>
      </c>
      <c r="I166" s="1" t="str">
        <f>IF(J166="","",IFERROR(INDEX(tblOrgs[Client Name],MATCH(J166,tblOrgs[Client ABN],0)),""))</f>
        <v>Downer PipeTech Pty Ltd</v>
      </c>
      <c r="J166" s="1">
        <f>IFERROR(INDEX(tblAudits[Client ABN],MATCH(B166,tblAudits[Audit ID],0)),"")</f>
        <v>49115288527</v>
      </c>
      <c r="K166" s="1"/>
    </row>
    <row r="167" spans="1:11" x14ac:dyDescent="0.25">
      <c r="A167" s="1" t="s">
        <v>908</v>
      </c>
      <c r="B167" s="1" t="s">
        <v>206</v>
      </c>
      <c r="C167" s="1" t="s">
        <v>909</v>
      </c>
      <c r="D167" s="1">
        <v>1</v>
      </c>
      <c r="E167" s="1" t="s">
        <v>525</v>
      </c>
      <c r="F167" s="4">
        <v>44747</v>
      </c>
      <c r="G167" s="4">
        <f>IF(F167="","",EDATE(F167,12)-1)</f>
        <v>45111</v>
      </c>
      <c r="H167" s="1" t="str">
        <f>IFERROR(INDEX(tblAudits[Audit Type],MATCH(B167,tblAudits[Audit ID],0)),"")</f>
        <v>HVNL Management Plan</v>
      </c>
      <c r="I167" s="1" t="str">
        <f>IF(J167="","",IFERROR(INDEX(tblOrgs[Client Name],MATCH(J167,tblOrgs[Client ABN],0)),""))</f>
        <v>Pressure Works Pty Ltd</v>
      </c>
      <c r="J167" s="1">
        <f>IFERROR(INDEX(tblAudits[Client ABN],MATCH(B167,tblAudits[Audit ID],0)),"")</f>
        <v>94365883835</v>
      </c>
      <c r="K167" s="1"/>
    </row>
    <row r="168" spans="1:11" x14ac:dyDescent="0.25">
      <c r="A168" s="1" t="s">
        <v>888</v>
      </c>
      <c r="B168" s="1" t="s">
        <v>196</v>
      </c>
      <c r="C168" s="1" t="s">
        <v>889</v>
      </c>
      <c r="D168" s="1">
        <v>1</v>
      </c>
      <c r="E168" s="1" t="s">
        <v>525</v>
      </c>
      <c r="F168" s="4">
        <v>44752</v>
      </c>
      <c r="G168" s="4">
        <f>IF(F168="","",EDATE(F168,12)-1)</f>
        <v>45116</v>
      </c>
      <c r="H168" s="1" t="str">
        <f>IFERROR(INDEX(tblAudits[Audit Type],MATCH(B168,tblAudits[Audit ID],0)),"")</f>
        <v>HVNL Management Plan</v>
      </c>
      <c r="I168" s="1" t="str">
        <f>IF(J168="","",IFERROR(INDEX(tblOrgs[Client Name],MATCH(J168,tblOrgs[Client ABN],0)),""))</f>
        <v>Maas Group Holdings</v>
      </c>
      <c r="J168" s="1">
        <f>IFERROR(INDEX(tblAudits[Client ABN],MATCH(B168,tblAudits[Audit ID],0)),"")</f>
        <v>84632994542</v>
      </c>
      <c r="K168" s="1"/>
    </row>
    <row r="169" spans="1:11" x14ac:dyDescent="0.25">
      <c r="A169" s="1" t="s">
        <v>932</v>
      </c>
      <c r="B169" s="1" t="s">
        <v>218</v>
      </c>
      <c r="C169" s="1" t="s">
        <v>933</v>
      </c>
      <c r="D169" s="1">
        <v>1</v>
      </c>
      <c r="E169" s="1" t="s">
        <v>525</v>
      </c>
      <c r="F169" s="4">
        <v>44756</v>
      </c>
      <c r="G169" s="4">
        <f>IF(F169="","",EDATE(F169,12)-1)</f>
        <v>45120</v>
      </c>
      <c r="H169" s="1" t="str">
        <f>IFERROR(INDEX(tblAudits[Audit Type],MATCH(B169,tblAudits[Audit ID],0)),"")</f>
        <v>HVNL Management Plan</v>
      </c>
      <c r="I169" s="1" t="str">
        <f>IF(J169="","",IFERROR(INDEX(tblOrgs[Client Name],MATCH(J169,tblOrgs[Client ABN],0)),""))</f>
        <v>SweepNKleen Road Sweeping Services Pty Ltd</v>
      </c>
      <c r="J169" s="1">
        <f>IFERROR(INDEX(tblAudits[Client ABN],MATCH(B169,tblAudits[Audit ID],0)),"")</f>
        <v>73634522946</v>
      </c>
      <c r="K169" s="1"/>
    </row>
    <row r="170" spans="1:11" x14ac:dyDescent="0.25">
      <c r="A170" s="1" t="s">
        <v>822</v>
      </c>
      <c r="B170" s="1" t="s">
        <v>163</v>
      </c>
      <c r="C170" s="1" t="s">
        <v>823</v>
      </c>
      <c r="D170" s="1">
        <v>1</v>
      </c>
      <c r="E170" s="1" t="s">
        <v>525</v>
      </c>
      <c r="F170" s="4">
        <v>44742</v>
      </c>
      <c r="G170" s="4">
        <f>IF(F170="","",EDATE(F170,12)-1)</f>
        <v>45106</v>
      </c>
      <c r="H170" s="1" t="str">
        <f>IFERROR(INDEX(tblAudits[Audit Type],MATCH(B170,tblAudits[Audit ID],0)),"")</f>
        <v>HVNL Management Plan</v>
      </c>
      <c r="I170" s="1" t="str">
        <f>IF(J170="","",IFERROR(INDEX(tblOrgs[Client Name],MATCH(J170,tblOrgs[Client ABN],0)),""))</f>
        <v>Barlina Pty Ltd</v>
      </c>
      <c r="J170" s="1">
        <f>IFERROR(INDEX(tblAudits[Client ABN],MATCH(B170,tblAudits[Audit ID],0)),"")</f>
        <v>40078243526</v>
      </c>
      <c r="K170" s="1"/>
    </row>
    <row r="171" spans="1:11" x14ac:dyDescent="0.25">
      <c r="A171" s="1" t="s">
        <v>814</v>
      </c>
      <c r="B171" s="1" t="s">
        <v>159</v>
      </c>
      <c r="C171" s="1" t="s">
        <v>815</v>
      </c>
      <c r="D171" s="1">
        <v>1</v>
      </c>
      <c r="E171" s="1" t="s">
        <v>525</v>
      </c>
      <c r="F171" s="4">
        <v>44764</v>
      </c>
      <c r="G171" s="4">
        <f>IF(F171="","",EDATE(F171,12)-1)</f>
        <v>45128</v>
      </c>
      <c r="H171" s="1" t="str">
        <f>IFERROR(INDEX(tblAudits[Audit Type],MATCH(B171,tblAudits[Audit ID],0)),"")</f>
        <v>HVNL Management Plan</v>
      </c>
      <c r="I171" s="1" t="str">
        <f>IF(J171="","",IFERROR(INDEX(tblOrgs[Client Name],MATCH(J171,tblOrgs[Client ABN],0)),""))</f>
        <v>Ash (Vic) Pty Ltd</v>
      </c>
      <c r="J171" s="1">
        <f>IFERROR(INDEX(tblAudits[Client ABN],MATCH(B171,tblAudits[Audit ID],0)),"")</f>
        <v>29115372613</v>
      </c>
      <c r="K171" s="1"/>
    </row>
    <row r="172" spans="1:11" x14ac:dyDescent="0.25">
      <c r="A172" s="1" t="s">
        <v>870</v>
      </c>
      <c r="B172" s="1" t="s">
        <v>187</v>
      </c>
      <c r="C172" s="1" t="s">
        <v>871</v>
      </c>
      <c r="D172" s="1">
        <v>1</v>
      </c>
      <c r="E172" s="1" t="s">
        <v>525</v>
      </c>
      <c r="F172" s="4">
        <v>44784</v>
      </c>
      <c r="G172" s="4">
        <f>IF(F172="","",EDATE(F172,12)-1)</f>
        <v>45148</v>
      </c>
      <c r="H172" s="1" t="str">
        <f>IFERROR(INDEX(tblAudits[Audit Type],MATCH(B172,tblAudits[Audit ID],0)),"")</f>
        <v>HVNL Management Plan</v>
      </c>
      <c r="I172" s="1" t="str">
        <f>IF(J172="","",IFERROR(INDEX(tblOrgs[Client Name],MATCH(J172,tblOrgs[Client ABN],0)),""))</f>
        <v>HL Landscapes Pty Ltd</v>
      </c>
      <c r="J172" s="1">
        <f>IFERROR(INDEX(tblAudits[Client ABN],MATCH(B172,tblAudits[Audit ID],0)),"")</f>
        <v>92119886734</v>
      </c>
      <c r="K172" s="1"/>
    </row>
    <row r="173" spans="1:11" x14ac:dyDescent="0.25">
      <c r="A173" s="1" t="s">
        <v>848</v>
      </c>
      <c r="B173" s="1" t="s">
        <v>176</v>
      </c>
      <c r="C173" s="1" t="s">
        <v>849</v>
      </c>
      <c r="D173" s="1">
        <v>1</v>
      </c>
      <c r="E173" s="1" t="s">
        <v>525</v>
      </c>
      <c r="F173" s="4">
        <v>44787</v>
      </c>
      <c r="G173" s="4">
        <f>IF(F173="","",EDATE(F173,12)-1)</f>
        <v>45151</v>
      </c>
      <c r="H173" s="1" t="str">
        <f>IFERROR(INDEX(tblAudits[Audit Type],MATCH(B173,tblAudits[Audit ID],0)),"")</f>
        <v>HVNL Management Plan</v>
      </c>
      <c r="I173" s="1" t="str">
        <f>IF(J173="","",IFERROR(INDEX(tblOrgs[Client Name],MATCH(J173,tblOrgs[Client ABN],0)),""))</f>
        <v>Earthtek Excavations Pty Ltd</v>
      </c>
      <c r="J173" s="1">
        <f>IFERROR(INDEX(tblAudits[Client ABN],MATCH(B173,tblAudits[Audit ID],0)),"")</f>
        <v>54090536575</v>
      </c>
      <c r="K173" s="1"/>
    </row>
    <row r="174" spans="1:11" x14ac:dyDescent="0.25">
      <c r="A174" s="1" t="s">
        <v>956</v>
      </c>
      <c r="B174" s="1" t="s">
        <v>230</v>
      </c>
      <c r="C174" s="1" t="s">
        <v>957</v>
      </c>
      <c r="D174" s="1">
        <v>1</v>
      </c>
      <c r="E174" s="1" t="s">
        <v>525</v>
      </c>
      <c r="F174" s="4">
        <v>44787</v>
      </c>
      <c r="G174" s="4">
        <f>IF(F174="","",EDATE(F174,12)-1)</f>
        <v>45151</v>
      </c>
      <c r="H174" s="1" t="str">
        <f>IFERROR(INDEX(tblAudits[Audit Type],MATCH(B174,tblAudits[Audit ID],0)),"")</f>
        <v>WHS Management System</v>
      </c>
      <c r="I174" s="1" t="str">
        <f>IF(J174="","",IFERROR(INDEX(tblOrgs[Client Name],MATCH(J174,tblOrgs[Client ABN],0)),""))</f>
        <v>Earthtek Excavations Pty Ltd</v>
      </c>
      <c r="J174" s="1">
        <f>IFERROR(INDEX(tblAudits[Client ABN],MATCH(B174,tblAudits[Audit ID],0)),"")</f>
        <v>54090536575</v>
      </c>
      <c r="K174" s="1"/>
    </row>
    <row r="175" spans="1:11" x14ac:dyDescent="0.25">
      <c r="A175" s="1" t="s">
        <v>846</v>
      </c>
      <c r="B175" s="1" t="s">
        <v>175</v>
      </c>
      <c r="C175" s="1" t="s">
        <v>847</v>
      </c>
      <c r="D175" s="1">
        <v>1</v>
      </c>
      <c r="E175" s="1" t="s">
        <v>525</v>
      </c>
      <c r="F175" s="4">
        <v>44803</v>
      </c>
      <c r="G175" s="4">
        <f>IF(F175="","",EDATE(F175,12)-1)</f>
        <v>45167</v>
      </c>
      <c r="H175" s="1" t="str">
        <f>IFERROR(INDEX(tblAudits[Audit Type],MATCH(B175,tblAudits[Audit ID],0)),"")</f>
        <v>HVNL Management Plan</v>
      </c>
      <c r="I175" s="1" t="str">
        <f>IF(J175="","",IFERROR(INDEX(tblOrgs[Client Name],MATCH(J175,tblOrgs[Client ABN],0)),""))</f>
        <v>Durkin Construction Pty Ltd</v>
      </c>
      <c r="J175" s="1">
        <f>IFERROR(INDEX(tblAudits[Client ABN],MATCH(B175,tblAudits[Audit ID],0)),"")</f>
        <v>73615246118</v>
      </c>
      <c r="K175" s="1"/>
    </row>
    <row r="176" spans="1:11" x14ac:dyDescent="0.25">
      <c r="A176" s="1" t="s">
        <v>892</v>
      </c>
      <c r="B176" s="1" t="s">
        <v>198</v>
      </c>
      <c r="C176" s="1" t="s">
        <v>893</v>
      </c>
      <c r="D176" s="1">
        <v>1</v>
      </c>
      <c r="E176" s="1" t="s">
        <v>525</v>
      </c>
      <c r="F176" s="4">
        <v>44751</v>
      </c>
      <c r="G176" s="4">
        <f>IF(F176="","",EDATE(F176,12)-1)</f>
        <v>45115</v>
      </c>
      <c r="H176" s="1" t="str">
        <f>IFERROR(INDEX(tblAudits[Audit Type],MATCH(B176,tblAudits[Audit ID],0)),"")</f>
        <v>HVNL Management Plan</v>
      </c>
      <c r="I176" s="1" t="str">
        <f>IF(J176="","",IFERROR(INDEX(tblOrgs[Client Name],MATCH(J176,tblOrgs[Client ABN],0)),""))</f>
        <v>Mansell Premix Pty Ltd</v>
      </c>
      <c r="J176" s="1">
        <f>IFERROR(INDEX(tblAudits[Client ABN],MATCH(B176,tblAudits[Audit ID],0)),"")</f>
        <v>11124779148</v>
      </c>
      <c r="K176" s="1"/>
    </row>
    <row r="177" spans="1:11" x14ac:dyDescent="0.25">
      <c r="A177" s="1" t="s">
        <v>886</v>
      </c>
      <c r="B177" s="1" t="s">
        <v>195</v>
      </c>
      <c r="C177" s="1" t="s">
        <v>887</v>
      </c>
      <c r="D177" s="1">
        <v>1</v>
      </c>
      <c r="E177" s="1" t="s">
        <v>525</v>
      </c>
      <c r="F177" s="4">
        <v>44747</v>
      </c>
      <c r="G177" s="4">
        <f>IF(F177="","",EDATE(F177,12)-1)</f>
        <v>45111</v>
      </c>
      <c r="H177" s="1" t="str">
        <f>IFERROR(INDEX(tblAudits[Audit Type],MATCH(B177,tblAudits[Audit ID],0)),"")</f>
        <v>HVNL Management Plan</v>
      </c>
      <c r="I177" s="1" t="str">
        <f>IF(J177="","",IFERROR(INDEX(tblOrgs[Client Name],MATCH(J177,tblOrgs[Client ABN],0)),""))</f>
        <v>LJ &amp; LJ Pty Ltd</v>
      </c>
      <c r="J177" s="1">
        <f>IFERROR(INDEX(tblAudits[Client ABN],MATCH(B177,tblAudits[Audit ID],0)),"")</f>
        <v>33612534442</v>
      </c>
      <c r="K177" s="1"/>
    </row>
    <row r="178" spans="1:11" x14ac:dyDescent="0.25">
      <c r="A178" s="1" t="s">
        <v>818</v>
      </c>
      <c r="B178" s="1" t="s">
        <v>161</v>
      </c>
      <c r="C178" s="1" t="s">
        <v>819</v>
      </c>
      <c r="D178" s="1">
        <v>1</v>
      </c>
      <c r="E178" s="1" t="s">
        <v>525</v>
      </c>
      <c r="F178" s="4">
        <v>44802</v>
      </c>
      <c r="G178" s="4">
        <f>IF(F178="","",EDATE(F178,12)-1)</f>
        <v>45166</v>
      </c>
      <c r="H178" s="1" t="str">
        <f>IFERROR(INDEX(tblAudits[Audit Type],MATCH(B178,tblAudits[Audit ID],0)),"")</f>
        <v>HVNL Management Plan</v>
      </c>
      <c r="I178" s="1" t="str">
        <f>IF(J178="","",IFERROR(INDEX(tblOrgs[Client Name],MATCH(J178,tblOrgs[Client ABN],0)),""))</f>
        <v>Australian Weighing Equipment Pty Ltd</v>
      </c>
      <c r="J178" s="1">
        <f>IFERROR(INDEX(tblAudits[Client ABN],MATCH(B178,tblAudits[Audit ID],0)),"")</f>
        <v>74002940301</v>
      </c>
      <c r="K178" s="1"/>
    </row>
    <row r="179" spans="1:11" x14ac:dyDescent="0.25">
      <c r="A179" s="1" t="s">
        <v>894</v>
      </c>
      <c r="B179" s="1" t="s">
        <v>199</v>
      </c>
      <c r="C179" s="1" t="s">
        <v>895</v>
      </c>
      <c r="D179" s="1">
        <v>1</v>
      </c>
      <c r="E179" s="1" t="s">
        <v>525</v>
      </c>
      <c r="F179" s="4">
        <v>44802</v>
      </c>
      <c r="G179" s="4">
        <f>IF(F179="","",EDATE(F179,12)-1)</f>
        <v>45166</v>
      </c>
      <c r="H179" s="1" t="str">
        <f>IFERROR(INDEX(tblAudits[Audit Type],MATCH(B179,tblAudits[Audit ID],0)),"")</f>
        <v>HVNL Management Plan</v>
      </c>
      <c r="I179" s="1" t="str">
        <f>IF(J179="","",IFERROR(INDEX(tblOrgs[Client Name],MATCH(J179,tblOrgs[Client ABN],0)),""))</f>
        <v>Marr Contracting Pty Ltd</v>
      </c>
      <c r="J179" s="1">
        <f>IFERROR(INDEX(tblAudits[Client ABN],MATCH(B179,tblAudits[Audit ID],0)),"")</f>
        <v>72001231607</v>
      </c>
      <c r="K179" s="1"/>
    </row>
    <row r="180" spans="1:11" x14ac:dyDescent="0.25">
      <c r="A180" s="1" t="s">
        <v>866</v>
      </c>
      <c r="B180" s="1" t="s">
        <v>185</v>
      </c>
      <c r="C180" s="1" t="s">
        <v>867</v>
      </c>
      <c r="D180" s="1">
        <v>1</v>
      </c>
      <c r="E180" s="1" t="s">
        <v>525</v>
      </c>
      <c r="F180" s="4">
        <v>44803</v>
      </c>
      <c r="G180" s="4">
        <f>IF(F180="","",EDATE(F180,12)-1)</f>
        <v>45167</v>
      </c>
      <c r="H180" s="1" t="str">
        <f>IFERROR(INDEX(tblAudits[Audit Type],MATCH(B180,tblAudits[Audit ID],0)),"")</f>
        <v>HVNL Management Plan</v>
      </c>
      <c r="I180" s="1" t="str">
        <f>IF(J180="","",IFERROR(INDEX(tblOrgs[Client Name],MATCH(J180,tblOrgs[Client ABN],0)),""))</f>
        <v>Gillies Civil Pty Ltd</v>
      </c>
      <c r="J180" s="1">
        <f>IFERROR(INDEX(tblAudits[Client ABN],MATCH(B180,tblAudits[Audit ID],0)),"")</f>
        <v>31475957719</v>
      </c>
      <c r="K180" s="1"/>
    </row>
    <row r="181" spans="1:11" x14ac:dyDescent="0.25">
      <c r="A181" s="1" t="s">
        <v>860</v>
      </c>
      <c r="B181" s="1" t="s">
        <v>182</v>
      </c>
      <c r="C181" s="1" t="s">
        <v>861</v>
      </c>
      <c r="D181" s="1">
        <v>1</v>
      </c>
      <c r="E181" s="1" t="s">
        <v>525</v>
      </c>
      <c r="F181" s="4">
        <v>44811</v>
      </c>
      <c r="G181" s="4">
        <f>IF(F181="","",EDATE(F181,12)-1)</f>
        <v>45175</v>
      </c>
      <c r="H181" s="1" t="str">
        <f>IFERROR(INDEX(tblAudits[Audit Type],MATCH(B181,tblAudits[Audit ID],0)),"")</f>
        <v>HVNL Management Plan</v>
      </c>
      <c r="I181" s="1" t="str">
        <f>IF(J181="","",IFERROR(INDEX(tblOrgs[Client Name],MATCH(J181,tblOrgs[Client ABN],0)),""))</f>
        <v>Fresh Start Australia Pty Ltd</v>
      </c>
      <c r="J181" s="1">
        <f>IFERROR(INDEX(tblAudits[Client ABN],MATCH(B181,tblAudits[Audit ID],0)),"")</f>
        <v>77617764011</v>
      </c>
      <c r="K181" s="1"/>
    </row>
    <row r="182" spans="1:11" x14ac:dyDescent="0.25">
      <c r="A182" s="1" t="s">
        <v>930</v>
      </c>
      <c r="B182" s="1" t="s">
        <v>217</v>
      </c>
      <c r="C182" s="1" t="s">
        <v>931</v>
      </c>
      <c r="D182" s="1">
        <v>1</v>
      </c>
      <c r="E182" s="1" t="s">
        <v>525</v>
      </c>
      <c r="F182" s="4">
        <v>44765</v>
      </c>
      <c r="G182" s="4">
        <f>IF(F182="","",EDATE(F182,12)-1)</f>
        <v>45129</v>
      </c>
      <c r="H182" s="1" t="str">
        <f>IFERROR(INDEX(tblAudits[Audit Type],MATCH(B182,tblAudits[Audit ID],0)),"")</f>
        <v>HVNL Management Plan</v>
      </c>
      <c r="I182" s="1" t="str">
        <f>IF(J182="","",IFERROR(INDEX(tblOrgs[Client Name],MATCH(J182,tblOrgs[Client ABN],0)),""))</f>
        <v>STG Pumps Pty Ltd</v>
      </c>
      <c r="J182" s="1">
        <f>IFERROR(INDEX(tblAudits[Client ABN],MATCH(B182,tblAudits[Audit ID],0)),"")</f>
        <v>61602493872</v>
      </c>
      <c r="K182" s="1"/>
    </row>
    <row r="183" spans="1:11" x14ac:dyDescent="0.25">
      <c r="A183" s="1" t="s">
        <v>958</v>
      </c>
      <c r="B183" s="1" t="s">
        <v>231</v>
      </c>
      <c r="C183" s="1" t="s">
        <v>959</v>
      </c>
      <c r="D183" s="1">
        <v>1</v>
      </c>
      <c r="E183" s="1" t="s">
        <v>525</v>
      </c>
      <c r="F183" s="4">
        <v>44765</v>
      </c>
      <c r="G183" s="4">
        <f>IF(F183="","",EDATE(F183,12)-1)</f>
        <v>45129</v>
      </c>
      <c r="H183" s="1" t="str">
        <f>IFERROR(INDEX(tblAudits[Audit Type],MATCH(B183,tblAudits[Audit ID],0)),"")</f>
        <v>WHS Management System</v>
      </c>
      <c r="I183" s="1" t="str">
        <f>IF(J183="","",IFERROR(INDEX(tblOrgs[Client Name],MATCH(J183,tblOrgs[Client ABN],0)),""))</f>
        <v>STG Pumps Pty Ltd</v>
      </c>
      <c r="J183" s="1">
        <f>IFERROR(INDEX(tblAudits[Client ABN],MATCH(B183,tblAudits[Audit ID],0)),"")</f>
        <v>61602493872</v>
      </c>
      <c r="K183" s="1"/>
    </row>
    <row r="184" spans="1:11" x14ac:dyDescent="0.25">
      <c r="A184" s="1" t="s">
        <v>902</v>
      </c>
      <c r="B184" s="1" t="s">
        <v>203</v>
      </c>
      <c r="C184" s="1" t="s">
        <v>903</v>
      </c>
      <c r="D184" s="1">
        <v>1</v>
      </c>
      <c r="E184" s="1" t="s">
        <v>525</v>
      </c>
      <c r="F184" s="4">
        <v>44811</v>
      </c>
      <c r="G184" s="4">
        <f>IF(F184="","",EDATE(F184,12)-1)</f>
        <v>45175</v>
      </c>
      <c r="H184" s="1" t="str">
        <f>IFERROR(INDEX(tblAudits[Audit Type],MATCH(B184,tblAudits[Audit ID],0)),"")</f>
        <v>HVNL Management Plan</v>
      </c>
      <c r="I184" s="1" t="str">
        <f>IF(J184="","",IFERROR(INDEX(tblOrgs[Client Name],MATCH(J184,tblOrgs[Client ABN],0)),""))</f>
        <v>Neilsens Holdings Pty Ltd</v>
      </c>
      <c r="J184" s="1">
        <f>IFERROR(INDEX(tblAudits[Client ABN],MATCH(B184,tblAudits[Audit ID],0)),"")</f>
        <v>92009940989</v>
      </c>
      <c r="K184" s="1"/>
    </row>
    <row r="185" spans="1:11" x14ac:dyDescent="0.25">
      <c r="A185" s="1" t="s">
        <v>926</v>
      </c>
      <c r="B185" s="1" t="s">
        <v>215</v>
      </c>
      <c r="C185" s="1" t="s">
        <v>927</v>
      </c>
      <c r="D185" s="1">
        <v>1</v>
      </c>
      <c r="E185" s="1" t="s">
        <v>525</v>
      </c>
      <c r="F185" s="4">
        <v>44823</v>
      </c>
      <c r="G185" s="4">
        <f>IF(F185="","",EDATE(F185,12)-1)</f>
        <v>45187</v>
      </c>
      <c r="H185" s="1" t="str">
        <f>IFERROR(INDEX(tblAudits[Audit Type],MATCH(B185,tblAudits[Audit ID],0)),"")</f>
        <v>HVNL Management Plan</v>
      </c>
      <c r="I185" s="1" t="str">
        <f>IF(J185="","",IFERROR(INDEX(tblOrgs[Client Name],MATCH(J185,tblOrgs[Client ABN],0)),""))</f>
        <v>Speno Rail Maintenance Australia Pty Ltd</v>
      </c>
      <c r="J185" s="1">
        <f>IFERROR(INDEX(tblAudits[Client ABN],MATCH(B185,tblAudits[Audit ID],0)),"")</f>
        <v>30009206722</v>
      </c>
      <c r="K185" s="1"/>
    </row>
    <row r="186" spans="1:11" x14ac:dyDescent="0.25">
      <c r="A186" s="1" t="s">
        <v>868</v>
      </c>
      <c r="B186" s="1" t="s">
        <v>186</v>
      </c>
      <c r="C186" s="1" t="s">
        <v>869</v>
      </c>
      <c r="D186" s="1">
        <v>1</v>
      </c>
      <c r="E186" s="1" t="s">
        <v>525</v>
      </c>
      <c r="F186" s="4">
        <v>44837</v>
      </c>
      <c r="G186" s="4">
        <f>IF(F186="","",EDATE(F186,12)-1)</f>
        <v>45201</v>
      </c>
      <c r="H186" s="1" t="str">
        <f>IFERROR(INDEX(tblAudits[Audit Type],MATCH(B186,tblAudits[Audit ID],0)),"")</f>
        <v>HVNL Management Plan</v>
      </c>
      <c r="I186" s="1" t="str">
        <f>IF(J186="","",IFERROR(INDEX(tblOrgs[Client Name],MATCH(J186,tblOrgs[Client ABN],0)),""))</f>
        <v>GVP Fabricators Pty Ltd</v>
      </c>
      <c r="J186" s="1">
        <f>IFERROR(INDEX(tblAudits[Client ABN],MATCH(B186,tblAudits[Audit ID],0)),"")</f>
        <v>59082132394</v>
      </c>
      <c r="K186" s="1"/>
    </row>
    <row r="187" spans="1:11" x14ac:dyDescent="0.25">
      <c r="A187" s="1" t="s">
        <v>832</v>
      </c>
      <c r="B187" s="1" t="s">
        <v>168</v>
      </c>
      <c r="C187" s="1" t="s">
        <v>833</v>
      </c>
      <c r="D187" s="1">
        <v>1</v>
      </c>
      <c r="E187" s="1" t="s">
        <v>525</v>
      </c>
      <c r="F187" s="4">
        <v>44838</v>
      </c>
      <c r="G187" s="4">
        <f>IF(F187="","",EDATE(F187,12)-1)</f>
        <v>45202</v>
      </c>
      <c r="H187" s="1" t="str">
        <f>IFERROR(INDEX(tblAudits[Audit Type],MATCH(B187,tblAudits[Audit ID],0)),"")</f>
        <v>HVNL Management Plan</v>
      </c>
      <c r="I187" s="1" t="str">
        <f>IF(J187="","",IFERROR(INDEX(tblOrgs[Client Name],MATCH(J187,tblOrgs[Client ABN],0)),""))</f>
        <v>Coates Hire Operations Pty Limited</v>
      </c>
      <c r="J187" s="1">
        <f>IFERROR(INDEX(tblAudits[Client ABN],MATCH(B187,tblAudits[Audit ID],0)),"")</f>
        <v>99074126971</v>
      </c>
      <c r="K187" s="1"/>
    </row>
    <row r="188" spans="1:11" x14ac:dyDescent="0.25">
      <c r="A188" s="1" t="s">
        <v>862</v>
      </c>
      <c r="B188" s="1" t="s">
        <v>183</v>
      </c>
      <c r="C188" s="1" t="s">
        <v>863</v>
      </c>
      <c r="D188" s="1">
        <v>1</v>
      </c>
      <c r="E188" s="1" t="s">
        <v>525</v>
      </c>
      <c r="F188" s="4">
        <v>44838</v>
      </c>
      <c r="G188" s="4">
        <f>IF(F188="","",EDATE(F188,12)-1)</f>
        <v>45202</v>
      </c>
      <c r="H188" s="1" t="str">
        <f>IFERROR(INDEX(tblAudits[Audit Type],MATCH(B188,tblAudits[Audit ID],0)),"")</f>
        <v>HVNL Management Plan</v>
      </c>
      <c r="I188" s="1" t="str">
        <f>IF(J188="","",IFERROR(INDEX(tblOrgs[Client Name],MATCH(J188,tblOrgs[Client ABN],0)),""))</f>
        <v>Freyssinet Australia Pty Ltd</v>
      </c>
      <c r="J188" s="1">
        <f>IFERROR(INDEX(tblAudits[Client ABN],MATCH(B188,tblAudits[Audit ID],0)),"")</f>
        <v>15002617736</v>
      </c>
      <c r="K188" s="1"/>
    </row>
    <row r="189" spans="1:11" x14ac:dyDescent="0.25">
      <c r="A189" s="1" t="s">
        <v>944</v>
      </c>
      <c r="B189" s="1" t="s">
        <v>224</v>
      </c>
      <c r="C189" s="1" t="s">
        <v>945</v>
      </c>
      <c r="D189" s="1">
        <v>1</v>
      </c>
      <c r="E189" s="1" t="s">
        <v>525</v>
      </c>
      <c r="F189" s="4">
        <v>44841</v>
      </c>
      <c r="G189" s="4">
        <f>IF(F189="","",EDATE(F189,12)-1)</f>
        <v>45205</v>
      </c>
      <c r="H189" s="1" t="str">
        <f>IFERROR(INDEX(tblAudits[Audit Type],MATCH(B189,tblAudits[Audit ID],0)),"")</f>
        <v>HVNL Management Plan</v>
      </c>
      <c r="I189" s="1" t="str">
        <f>IF(J189="","",IFERROR(INDEX(tblOrgs[Client Name],MATCH(J189,tblOrgs[Client ABN],0)),""))</f>
        <v>Vaughan Civil Pty Ltd</v>
      </c>
      <c r="J189" s="1">
        <f>IFERROR(INDEX(tblAudits[Client ABN],MATCH(B189,tblAudits[Audit ID],0)),"")</f>
        <v>50152638447</v>
      </c>
      <c r="K189" s="1"/>
    </row>
    <row r="190" spans="1:11" x14ac:dyDescent="0.25">
      <c r="A190" s="1" t="s">
        <v>842</v>
      </c>
      <c r="B190" s="1" t="s">
        <v>173</v>
      </c>
      <c r="C190" s="1" t="s">
        <v>843</v>
      </c>
      <c r="D190" s="1">
        <v>1</v>
      </c>
      <c r="E190" s="1" t="s">
        <v>525</v>
      </c>
      <c r="F190" s="4">
        <v>44786</v>
      </c>
      <c r="G190" s="4">
        <f>IF(F190="","",EDATE(F190,12)-1)</f>
        <v>45150</v>
      </c>
      <c r="H190" s="1" t="str">
        <f>IFERROR(INDEX(tblAudits[Audit Type],MATCH(B190,tblAudits[Audit ID],0)),"")</f>
        <v>HVNL Management Plan</v>
      </c>
      <c r="I190" s="1" t="str">
        <f>IF(J190="","",IFERROR(INDEX(tblOrgs[Client Name],MATCH(J190,tblOrgs[Client ABN],0)),""))</f>
        <v>Dalyâ€™s Constructions (Aust) Pty Ltd</v>
      </c>
      <c r="J190" s="1">
        <f>IFERROR(INDEX(tblAudits[Client ABN],MATCH(B190,tblAudits[Audit ID],0)),"")</f>
        <v>74091546735</v>
      </c>
      <c r="K190" s="1"/>
    </row>
    <row r="191" spans="1:11" x14ac:dyDescent="0.25">
      <c r="A191" s="1" t="s">
        <v>912</v>
      </c>
      <c r="B191" s="1" t="s">
        <v>208</v>
      </c>
      <c r="C191" s="1" t="s">
        <v>913</v>
      </c>
      <c r="D191" s="1">
        <v>1</v>
      </c>
      <c r="E191" s="1" t="s">
        <v>525</v>
      </c>
      <c r="F191" s="4">
        <v>44854</v>
      </c>
      <c r="G191" s="4">
        <f>IF(F191="","",EDATE(F191,12)-1)</f>
        <v>45218</v>
      </c>
      <c r="H191" s="1" t="str">
        <f>IFERROR(INDEX(tblAudits[Audit Type],MATCH(B191,tblAudits[Audit ID],0)),"")</f>
        <v>HVNL Management Plan</v>
      </c>
      <c r="I191" s="1" t="str">
        <f>IF(J191="","",IFERROR(INDEX(tblOrgs[Client Name],MATCH(J191,tblOrgs[Client ABN],0)),""))</f>
        <v>Queensland Pre-Stressing Pty Ltd</v>
      </c>
      <c r="J191" s="1">
        <f>IFERROR(INDEX(tblAudits[Client ABN],MATCH(B191,tblAudits[Audit ID],0)),"")</f>
        <v>95063541873</v>
      </c>
      <c r="K191" s="1"/>
    </row>
    <row r="192" spans="1:11" x14ac:dyDescent="0.25">
      <c r="A192" s="1" t="s">
        <v>824</v>
      </c>
      <c r="B192" s="1" t="s">
        <v>164</v>
      </c>
      <c r="C192" s="1" t="s">
        <v>825</v>
      </c>
      <c r="D192" s="1">
        <v>1</v>
      </c>
      <c r="E192" s="1" t="s">
        <v>525</v>
      </c>
      <c r="F192" s="4">
        <v>44755</v>
      </c>
      <c r="G192" s="4">
        <f>IF(F192="","",EDATE(F192,12)-1)</f>
        <v>45119</v>
      </c>
      <c r="H192" s="1" t="str">
        <f>IFERROR(INDEX(tblAudits[Audit Type],MATCH(B192,tblAudits[Audit ID],0)),"")</f>
        <v>HVNL Management Plan</v>
      </c>
      <c r="I192" s="1" t="str">
        <f>IF(J192="","",IFERROR(INDEX(tblOrgs[Client Name],MATCH(J192,tblOrgs[Client ABN],0)),""))</f>
        <v>Brent Young Cranes Pty Ltd</v>
      </c>
      <c r="J192" s="1">
        <f>IFERROR(INDEX(tblAudits[Client ABN],MATCH(B192,tblAudits[Audit ID],0)),"")</f>
        <v>74795954655</v>
      </c>
      <c r="K192" s="1"/>
    </row>
    <row r="193" spans="1:11" x14ac:dyDescent="0.25">
      <c r="A193" s="1" t="s">
        <v>806</v>
      </c>
      <c r="B193" s="1" t="s">
        <v>155</v>
      </c>
      <c r="C193" s="1" t="s">
        <v>807</v>
      </c>
      <c r="D193" s="1">
        <v>1</v>
      </c>
      <c r="E193" s="1" t="s">
        <v>525</v>
      </c>
      <c r="F193" s="4">
        <v>44853</v>
      </c>
      <c r="G193" s="4">
        <f>IF(F193="","",EDATE(F193,12)-1)</f>
        <v>45217</v>
      </c>
      <c r="H193" s="1" t="str">
        <f>IFERROR(INDEX(tblAudits[Audit Type],MATCH(B193,tblAudits[Audit ID],0)),"")</f>
        <v>HVNL Management Plan</v>
      </c>
      <c r="I193" s="1" t="str">
        <f>IF(J193="","",IFERROR(INDEX(tblOrgs[Client Name],MATCH(J193,tblOrgs[Client ABN],0)),""))</f>
        <v>Above Scaffolding Pty Ltd</v>
      </c>
      <c r="J193" s="1">
        <f>IFERROR(INDEX(tblAudits[Client ABN],MATCH(B193,tblAudits[Audit ID],0)),"")</f>
        <v>74073575201</v>
      </c>
      <c r="K193" s="1"/>
    </row>
    <row r="194" spans="1:11" x14ac:dyDescent="0.25">
      <c r="A194" s="1" t="s">
        <v>906</v>
      </c>
      <c r="B194" s="1" t="s">
        <v>205</v>
      </c>
      <c r="C194" s="1" t="s">
        <v>907</v>
      </c>
      <c r="D194" s="1">
        <v>1</v>
      </c>
      <c r="E194" s="1" t="s">
        <v>525</v>
      </c>
      <c r="F194" s="4">
        <v>44853</v>
      </c>
      <c r="G194" s="4">
        <f>IF(F194="","",EDATE(F194,12)-1)</f>
        <v>45217</v>
      </c>
      <c r="H194" s="1" t="str">
        <f>IFERROR(INDEX(tblAudits[Audit Type],MATCH(B194,tblAudits[Audit ID],0)),"")</f>
        <v>HVNL Management Plan</v>
      </c>
      <c r="I194" s="1" t="str">
        <f>IF(J194="","",IFERROR(INDEX(tblOrgs[Client Name],MATCH(J194,tblOrgs[Client ABN],0)),""))</f>
        <v>Online Fire &amp; Security Pty Ltd</v>
      </c>
      <c r="J194" s="1">
        <f>IFERROR(INDEX(tblAudits[Client ABN],MATCH(B194,tblAudits[Audit ID],0)),"")</f>
        <v>70147790261</v>
      </c>
      <c r="K194" s="1"/>
    </row>
    <row r="195" spans="1:11" x14ac:dyDescent="0.25">
      <c r="A195" s="1" t="s">
        <v>880</v>
      </c>
      <c r="B195" s="1" t="s">
        <v>192</v>
      </c>
      <c r="C195" s="1" t="s">
        <v>881</v>
      </c>
      <c r="D195" s="1">
        <v>1</v>
      </c>
      <c r="E195" s="1" t="s">
        <v>525</v>
      </c>
      <c r="F195" s="4">
        <v>44856</v>
      </c>
      <c r="G195" s="4">
        <f>IF(F195="","",EDATE(F195,12)-1)</f>
        <v>45220</v>
      </c>
      <c r="H195" s="1" t="str">
        <f>IFERROR(INDEX(tblAudits[Audit Type],MATCH(B195,tblAudits[Audit ID],0)),"")</f>
        <v>HVNL Management Plan</v>
      </c>
      <c r="I195" s="1" t="str">
        <f>IF(J195="","",IFERROR(INDEX(tblOrgs[Client Name],MATCH(J195,tblOrgs[Client ABN],0)),""))</f>
        <v>Kenny Constructions (Aust.) Pty. Limited</v>
      </c>
      <c r="J195" s="1">
        <f>IFERROR(INDEX(tblAudits[Client ABN],MATCH(B195,tblAudits[Audit ID],0)),"")</f>
        <v>74096169416</v>
      </c>
      <c r="K195" s="1"/>
    </row>
    <row r="196" spans="1:11" x14ac:dyDescent="0.25">
      <c r="A196" s="1" t="s">
        <v>940</v>
      </c>
      <c r="B196" s="1" t="s">
        <v>222</v>
      </c>
      <c r="C196" s="1" t="s">
        <v>941</v>
      </c>
      <c r="D196" s="1">
        <v>1</v>
      </c>
      <c r="E196" s="1" t="s">
        <v>525</v>
      </c>
      <c r="F196" s="4">
        <v>44857</v>
      </c>
      <c r="G196" s="4">
        <f>IF(F196="","",EDATE(F196,12)-1)</f>
        <v>45221</v>
      </c>
      <c r="H196" s="1" t="str">
        <f>IFERROR(INDEX(tblAudits[Audit Type],MATCH(B196,tblAudits[Audit ID],0)),"")</f>
        <v>HVNL Management Plan</v>
      </c>
      <c r="I196" s="1" t="str">
        <f>IF(J196="","",IFERROR(INDEX(tblOrgs[Client Name],MATCH(J196,tblOrgs[Client ABN],0)),""))</f>
        <v>Tutt Bryant Group Limited</v>
      </c>
      <c r="J196" s="1">
        <f>IFERROR(INDEX(tblAudits[Client ABN],MATCH(B196,tblAudits[Audit ID],0)),"")</f>
        <v>89009242675</v>
      </c>
      <c r="K196" s="1"/>
    </row>
    <row r="197" spans="1:11" x14ac:dyDescent="0.25">
      <c r="A197" s="1" t="s">
        <v>828</v>
      </c>
      <c r="B197" s="1" t="s">
        <v>166</v>
      </c>
      <c r="C197" s="1" t="s">
        <v>829</v>
      </c>
      <c r="D197" s="1">
        <v>1</v>
      </c>
      <c r="E197" s="1" t="s">
        <v>525</v>
      </c>
      <c r="F197" s="4">
        <v>44859</v>
      </c>
      <c r="G197" s="4">
        <f>IF(F197="","",EDATE(F197,12)-1)</f>
        <v>45223</v>
      </c>
      <c r="H197" s="1" t="str">
        <f>IFERROR(INDEX(tblAudits[Audit Type],MATCH(B197,tblAudits[Audit ID],0)),"")</f>
        <v>HVNL Management Plan</v>
      </c>
      <c r="I197" s="1" t="str">
        <f>IF(J197="","",IFERROR(INDEX(tblOrgs[Client Name],MATCH(J197,tblOrgs[Client ABN],0)),""))</f>
        <v>Challenge Civil Group Pty Ltd</v>
      </c>
      <c r="J197" s="1">
        <f>IFERROR(INDEX(tblAudits[Client ABN],MATCH(B197,tblAudits[Audit ID],0)),"")</f>
        <v>34155134795</v>
      </c>
      <c r="K197" s="1"/>
    </row>
    <row r="198" spans="1:11" x14ac:dyDescent="0.25">
      <c r="A198" s="1" t="s">
        <v>878</v>
      </c>
      <c r="B198" s="1" t="s">
        <v>191</v>
      </c>
      <c r="C198" s="1" t="s">
        <v>879</v>
      </c>
      <c r="D198" s="1">
        <v>1</v>
      </c>
      <c r="E198" s="1" t="s">
        <v>525</v>
      </c>
      <c r="F198" s="4">
        <v>44866</v>
      </c>
      <c r="G198" s="4">
        <f>IF(F198="","",EDATE(F198,12)-1)</f>
        <v>45230</v>
      </c>
      <c r="H198" s="1" t="str">
        <f>IFERROR(INDEX(tblAudits[Audit Type],MATCH(B198,tblAudits[Audit ID],0)),"")</f>
        <v>HVNL Management Plan</v>
      </c>
      <c r="I198" s="1" t="str">
        <f>IF(J198="","",IFERROR(INDEX(tblOrgs[Client Name],MATCH(J198,tblOrgs[Client ABN],0)),""))</f>
        <v>Kangaroo Transport &amp; Haulage Pty Ltd</v>
      </c>
      <c r="J198" s="1">
        <f>IFERROR(INDEX(tblAudits[Client ABN],MATCH(B198,tblAudits[Audit ID],0)),"")</f>
        <v>86629168985</v>
      </c>
      <c r="K198" s="1"/>
    </row>
    <row r="199" spans="1:11" x14ac:dyDescent="0.25">
      <c r="A199" s="1" t="s">
        <v>872</v>
      </c>
      <c r="B199" s="1" t="s">
        <v>188</v>
      </c>
      <c r="C199" s="1" t="s">
        <v>873</v>
      </c>
      <c r="D199" s="1">
        <v>1</v>
      </c>
      <c r="E199" s="1" t="s">
        <v>525</v>
      </c>
      <c r="F199" s="4">
        <v>44867</v>
      </c>
      <c r="G199" s="4">
        <f>IF(F199="","",EDATE(F199,12)-1)</f>
        <v>45231</v>
      </c>
      <c r="H199" s="1" t="str">
        <f>IFERROR(INDEX(tblAudits[Audit Type],MATCH(B199,tblAudits[Audit ID],0)),"")</f>
        <v>HVNL Management Plan</v>
      </c>
      <c r="I199" s="1" t="str">
        <f>IF(J199="","",IFERROR(INDEX(tblOrgs[Client Name],MATCH(J199,tblOrgs[Client ABN],0)),""))</f>
        <v>Holcim (Australia) Pty Ltd</v>
      </c>
      <c r="J199" s="1">
        <f>IFERROR(INDEX(tblAudits[Client ABN],MATCH(B199,tblAudits[Audit ID],0)),"")</f>
        <v>87099732297</v>
      </c>
      <c r="K199" s="1"/>
    </row>
    <row r="200" spans="1:11" x14ac:dyDescent="0.25">
      <c r="A200" s="1" t="s">
        <v>928</v>
      </c>
      <c r="B200" s="1" t="s">
        <v>216</v>
      </c>
      <c r="C200" s="1" t="s">
        <v>929</v>
      </c>
      <c r="D200" s="1">
        <v>1</v>
      </c>
      <c r="E200" s="1" t="s">
        <v>525</v>
      </c>
      <c r="F200" s="4">
        <v>44867</v>
      </c>
      <c r="G200" s="4">
        <f>IF(F200="","",EDATE(F200,12)-1)</f>
        <v>45231</v>
      </c>
      <c r="H200" s="1" t="str">
        <f>IFERROR(INDEX(tblAudits[Audit Type],MATCH(B200,tblAudits[Audit ID],0)),"")</f>
        <v>HVNL Management Plan</v>
      </c>
      <c r="I200" s="1" t="str">
        <f>IF(J200="","",IFERROR(INDEX(tblOrgs[Client Name],MATCH(J200,tblOrgs[Client ABN],0)),""))</f>
        <v>Stephens Plant Hire Pty Ltd</v>
      </c>
      <c r="J200" s="1">
        <f>IFERROR(INDEX(tblAudits[Client ABN],MATCH(B200,tblAudits[Audit ID],0)),"")</f>
        <v>41612483011</v>
      </c>
      <c r="K200" s="1"/>
    </row>
    <row r="201" spans="1:11" x14ac:dyDescent="0.25">
      <c r="A201" s="1" t="s">
        <v>918</v>
      </c>
      <c r="B201" s="1" t="s">
        <v>211</v>
      </c>
      <c r="C201" s="1" t="s">
        <v>919</v>
      </c>
      <c r="D201" s="1">
        <v>1</v>
      </c>
      <c r="E201" s="1" t="s">
        <v>525</v>
      </c>
      <c r="F201" s="4">
        <v>44872</v>
      </c>
      <c r="G201" s="4">
        <f>IF(F201="","",EDATE(F201,12)-1)</f>
        <v>45236</v>
      </c>
      <c r="H201" s="1" t="str">
        <f>IFERROR(INDEX(tblAudits[Audit Type],MATCH(B201,tblAudits[Audit ID],0)),"")</f>
        <v>HVNL Management Plan</v>
      </c>
      <c r="I201" s="1" t="str">
        <f>IF(J201="","",IFERROR(INDEX(tblOrgs[Client Name],MATCH(J201,tblOrgs[Client ABN],0)),""))</f>
        <v>Reinforced Earth Pty Ltd</v>
      </c>
      <c r="J201" s="1">
        <f>IFERROR(INDEX(tblAudits[Client ABN],MATCH(B201,tblAudits[Audit ID],0)),"")</f>
        <v>53001215327</v>
      </c>
      <c r="K201" s="1"/>
    </row>
    <row r="202" spans="1:11" x14ac:dyDescent="0.25">
      <c r="A202" s="1" t="s">
        <v>896</v>
      </c>
      <c r="B202" s="1" t="s">
        <v>200</v>
      </c>
      <c r="C202" s="1" t="s">
        <v>897</v>
      </c>
      <c r="D202" s="1">
        <v>1</v>
      </c>
      <c r="E202" s="1" t="s">
        <v>525</v>
      </c>
      <c r="F202" s="4">
        <v>44873</v>
      </c>
      <c r="G202" s="4">
        <f>IF(F202="","",EDATE(F202,12)-1)</f>
        <v>45237</v>
      </c>
      <c r="H202" s="1" t="str">
        <f>IFERROR(INDEX(tblAudits[Audit Type],MATCH(B202,tblAudits[Audit ID],0)),"")</f>
        <v>HVNL Management Plan</v>
      </c>
      <c r="I202" s="1" t="str">
        <f>IF(J202="","",IFERROR(INDEX(tblOrgs[Client Name],MATCH(J202,tblOrgs[Client ABN],0)),""))</f>
        <v>Mataniel Laurate Pty Ltd</v>
      </c>
      <c r="J202" s="1">
        <f>IFERROR(INDEX(tblAudits[Client ABN],MATCH(B202,tblAudits[Audit ID],0)),"")</f>
        <v>37094906028</v>
      </c>
      <c r="K202" s="1"/>
    </row>
    <row r="203" spans="1:11" x14ac:dyDescent="0.25">
      <c r="A203" s="1" t="s">
        <v>802</v>
      </c>
      <c r="B203" s="1" t="s">
        <v>153</v>
      </c>
      <c r="C203" s="1" t="s">
        <v>803</v>
      </c>
      <c r="D203" s="1">
        <v>1</v>
      </c>
      <c r="E203" s="1" t="s">
        <v>525</v>
      </c>
      <c r="F203" s="4">
        <v>44886</v>
      </c>
      <c r="G203" s="4">
        <f>IF(F203="","",EDATE(F203,12)-1)</f>
        <v>45250</v>
      </c>
      <c r="H203" s="1" t="str">
        <f>IFERROR(INDEX(tblAudits[Audit Type],MATCH(B203,tblAudits[Audit ID],0)),"")</f>
        <v>HVNL Management Plan</v>
      </c>
      <c r="I203" s="1" t="str">
        <f>IF(J203="","",IFERROR(INDEX(tblOrgs[Client Name],MATCH(J203,tblOrgs[Client ABN],0)),""))</f>
        <v>24/7 Fuels Pty Ltd</v>
      </c>
      <c r="J203" s="1">
        <f>IFERROR(INDEX(tblAudits[Client ABN],MATCH(B203,tblAudits[Audit ID],0)),"")</f>
        <v>17613791512</v>
      </c>
      <c r="K203" s="1"/>
    </row>
    <row r="204" spans="1:11" x14ac:dyDescent="0.25">
      <c r="A204" s="1" t="s">
        <v>852</v>
      </c>
      <c r="B204" s="1" t="s">
        <v>178</v>
      </c>
      <c r="C204" s="1" t="s">
        <v>853</v>
      </c>
      <c r="D204" s="1">
        <v>1</v>
      </c>
      <c r="E204" s="1" t="s">
        <v>525</v>
      </c>
      <c r="F204" s="4">
        <v>44881</v>
      </c>
      <c r="G204" s="4">
        <f>IF(F204="","",EDATE(F204,12)-1)</f>
        <v>45245</v>
      </c>
      <c r="H204" s="1" t="str">
        <f>IFERROR(INDEX(tblAudits[Audit Type],MATCH(B204,tblAudits[Audit ID],0)),"")</f>
        <v>HVNL Management Plan</v>
      </c>
      <c r="I204" s="1" t="str">
        <f>IF(J204="","",IFERROR(INDEX(tblOrgs[Client Name],MATCH(J204,tblOrgs[Client ABN],0)),""))</f>
        <v>Evolution Group Holdings Pty Ltd</v>
      </c>
      <c r="J204" s="1">
        <f>IFERROR(INDEX(tblAudits[Client ABN],MATCH(B204,tblAudits[Audit ID],0)),"")</f>
        <v>14147834133</v>
      </c>
      <c r="K204" s="1"/>
    </row>
    <row r="205" spans="1:11" x14ac:dyDescent="0.25">
      <c r="A205" s="1" t="s">
        <v>1110</v>
      </c>
      <c r="B205" s="1" t="s">
        <v>307</v>
      </c>
      <c r="C205" s="1" t="s">
        <v>1111</v>
      </c>
      <c r="D205" s="1">
        <v>1</v>
      </c>
      <c r="E205" s="1" t="s">
        <v>525</v>
      </c>
      <c r="F205" s="4">
        <v>45247</v>
      </c>
      <c r="G205" s="4">
        <f>IF(F205="","",EDATE(F205,12)-1)</f>
        <v>45612</v>
      </c>
      <c r="H205" s="1" t="str">
        <f>IFERROR(INDEX(tblAudits[Audit Type],MATCH(B205,tblAudits[Audit ID],0)),"")</f>
        <v>HVNL Management Plan</v>
      </c>
      <c r="I205" s="1" t="str">
        <f>IF(J205="","",IFERROR(INDEX(tblOrgs[Client Name],MATCH(J205,tblOrgs[Client ABN],0)),""))</f>
        <v>T. Eilbeck &amp; Son Pty Ltd</v>
      </c>
      <c r="J205" s="1">
        <f>IFERROR(INDEX(tblAudits[Client ABN],MATCH(B205,tblAudits[Audit ID],0)),"")</f>
        <v>22295128214</v>
      </c>
      <c r="K205" s="1"/>
    </row>
    <row r="206" spans="1:11" x14ac:dyDescent="0.25">
      <c r="A206" s="1" t="s">
        <v>876</v>
      </c>
      <c r="B206" s="1" t="s">
        <v>190</v>
      </c>
      <c r="C206" s="1" t="s">
        <v>877</v>
      </c>
      <c r="D206" s="1">
        <v>1</v>
      </c>
      <c r="E206" s="1" t="s">
        <v>525</v>
      </c>
      <c r="F206" s="4">
        <v>44886</v>
      </c>
      <c r="G206" s="4">
        <f>IF(F206="","",EDATE(F206,12)-1)</f>
        <v>45250</v>
      </c>
      <c r="H206" s="1" t="str">
        <f>IFERROR(INDEX(tblAudits[Audit Type],MATCH(B206,tblAudits[Audit ID],0)),"")</f>
        <v>HVNL Management Plan</v>
      </c>
      <c r="I206" s="1" t="str">
        <f>IF(J206="","",IFERROR(INDEX(tblOrgs[Client Name],MATCH(J206,tblOrgs[Client ABN],0)),""))</f>
        <v>iShift Solutions Pty Ltd</v>
      </c>
      <c r="J206" s="1">
        <f>IFERROR(INDEX(tblAudits[Client ABN],MATCH(B206,tblAudits[Audit ID],0)),"")</f>
        <v>34626019396</v>
      </c>
      <c r="K206" s="1"/>
    </row>
    <row r="207" spans="1:11" x14ac:dyDescent="0.25">
      <c r="A207" s="1" t="s">
        <v>924</v>
      </c>
      <c r="B207" s="1" t="s">
        <v>214</v>
      </c>
      <c r="C207" s="1" t="s">
        <v>925</v>
      </c>
      <c r="D207" s="1">
        <v>1</v>
      </c>
      <c r="E207" s="1" t="s">
        <v>525</v>
      </c>
      <c r="F207" s="4">
        <v>44887</v>
      </c>
      <c r="G207" s="4">
        <f>IF(F207="","",EDATE(F207,12)-1)</f>
        <v>45251</v>
      </c>
      <c r="H207" s="1" t="str">
        <f>IFERROR(INDEX(tblAudits[Audit Type],MATCH(B207,tblAudits[Audit ID],0)),"")</f>
        <v>HVNL Management Plan</v>
      </c>
      <c r="I207" s="1" t="str">
        <f>IF(J207="","",IFERROR(INDEX(tblOrgs[Client Name],MATCH(J207,tblOrgs[Client ABN],0)),""))</f>
        <v>Specialized Access Pty Ltd</v>
      </c>
      <c r="J207" s="1">
        <f>IFERROR(INDEX(tblAudits[Client ABN],MATCH(B207,tblAudits[Audit ID],0)),"")</f>
        <v>48642527259</v>
      </c>
      <c r="K207" s="1"/>
    </row>
    <row r="208" spans="1:11" x14ac:dyDescent="0.25">
      <c r="A208" s="1" t="s">
        <v>946</v>
      </c>
      <c r="B208" s="1" t="s">
        <v>225</v>
      </c>
      <c r="C208" s="1" t="s">
        <v>947</v>
      </c>
      <c r="D208" s="1">
        <v>1</v>
      </c>
      <c r="E208" s="1" t="s">
        <v>525</v>
      </c>
      <c r="F208" s="4">
        <v>44894</v>
      </c>
      <c r="G208" s="4">
        <f>IF(F208="","",EDATE(F208,12)-1)</f>
        <v>45258</v>
      </c>
      <c r="H208" s="1" t="str">
        <f>IFERROR(INDEX(tblAudits[Audit Type],MATCH(B208,tblAudits[Audit ID],0)),"")</f>
        <v>HVNL Management Plan</v>
      </c>
      <c r="I208" s="1" t="str">
        <f>IF(J208="","",IFERROR(INDEX(tblOrgs[Client Name],MATCH(J208,tblOrgs[Client ABN],0)),""))</f>
        <v>Victorian Crane Hire Pty Ltd</v>
      </c>
      <c r="J208" s="1">
        <f>IFERROR(INDEX(tblAudits[Client ABN],MATCH(B208,tblAudits[Audit ID],0)),"")</f>
        <v>15619105092</v>
      </c>
      <c r="K208" s="1"/>
    </row>
    <row r="209" spans="1:11" x14ac:dyDescent="0.25">
      <c r="A209" s="1" t="s">
        <v>910</v>
      </c>
      <c r="B209" s="1" t="s">
        <v>207</v>
      </c>
      <c r="C209" s="1" t="s">
        <v>911</v>
      </c>
      <c r="D209" s="1">
        <v>1</v>
      </c>
      <c r="E209" s="1" t="s">
        <v>525</v>
      </c>
      <c r="F209" s="4">
        <v>44895</v>
      </c>
      <c r="G209" s="4">
        <f>IF(F209="","",EDATE(F209,12)-1)</f>
        <v>45259</v>
      </c>
      <c r="H209" s="1" t="str">
        <f>IFERROR(INDEX(tblAudits[Audit Type],MATCH(B209,tblAudits[Audit ID],0)),"")</f>
        <v>HVNL Management Plan</v>
      </c>
      <c r="I209" s="1" t="str">
        <f>IF(J209="","",IFERROR(INDEX(tblOrgs[Client Name],MATCH(J209,tblOrgs[Client ABN],0)),""))</f>
        <v>Q Electrical Services Pty Ltd</v>
      </c>
      <c r="J209" s="1">
        <f>IFERROR(INDEX(tblAudits[Client ABN],MATCH(B209,tblAudits[Audit ID],0)),"")</f>
        <v>70068064817</v>
      </c>
      <c r="K209" s="1"/>
    </row>
    <row r="210" spans="1:11" x14ac:dyDescent="0.25">
      <c r="A210" s="1" t="s">
        <v>938</v>
      </c>
      <c r="B210" s="1" t="s">
        <v>221</v>
      </c>
      <c r="C210" s="1" t="s">
        <v>939</v>
      </c>
      <c r="D210" s="1">
        <v>1</v>
      </c>
      <c r="E210" s="1" t="s">
        <v>525</v>
      </c>
      <c r="F210" s="4">
        <v>44895</v>
      </c>
      <c r="G210" s="4">
        <f>IF(F210="","",EDATE(F210,12)-1)</f>
        <v>45259</v>
      </c>
      <c r="H210" s="1" t="str">
        <f>IFERROR(INDEX(tblAudits[Audit Type],MATCH(B210,tblAudits[Audit ID],0)),"")</f>
        <v>HVNL Management Plan</v>
      </c>
      <c r="I210" s="1" t="str">
        <f>IF(J210="","",IFERROR(INDEX(tblOrgs[Client Name],MATCH(J210,tblOrgs[Client ABN],0)),""))</f>
        <v>Taylors Freight Transport Pty Ltd</v>
      </c>
      <c r="J210" s="1">
        <f>IFERROR(INDEX(tblAudits[Client ABN],MATCH(B210,tblAudits[Audit ID],0)),"")</f>
        <v>91136398126</v>
      </c>
      <c r="K210" s="1"/>
    </row>
    <row r="211" spans="1:11" x14ac:dyDescent="0.25">
      <c r="A211" s="1" t="s">
        <v>934</v>
      </c>
      <c r="B211" s="1" t="s">
        <v>219</v>
      </c>
      <c r="C211" s="1" t="s">
        <v>935</v>
      </c>
      <c r="D211" s="1">
        <v>1</v>
      </c>
      <c r="E211" s="1" t="s">
        <v>525</v>
      </c>
      <c r="F211" s="4">
        <v>44901</v>
      </c>
      <c r="G211" s="4">
        <f>IF(F211="","",EDATE(F211,12)-1)</f>
        <v>45265</v>
      </c>
      <c r="H211" s="1" t="str">
        <f>IFERROR(INDEX(tblAudits[Audit Type],MATCH(B211,tblAudits[Audit ID],0)),"")</f>
        <v>HVNL Management Plan</v>
      </c>
      <c r="I211" s="1" t="str">
        <f>IF(J211="","",IFERROR(INDEX(tblOrgs[Client Name],MATCH(J211,tblOrgs[Client ABN],0)),""))</f>
        <v>Symal Group Pty Ltd</v>
      </c>
      <c r="J211" s="1">
        <f>IFERROR(INDEX(tblAudits[Client ABN],MATCH(B211,tblAudits[Audit ID],0)),"")</f>
        <v>72615255466</v>
      </c>
      <c r="K211" s="1"/>
    </row>
    <row r="212" spans="1:11" x14ac:dyDescent="0.25">
      <c r="A212" s="1" t="s">
        <v>884</v>
      </c>
      <c r="B212" s="1" t="s">
        <v>194</v>
      </c>
      <c r="C212" s="1" t="s">
        <v>885</v>
      </c>
      <c r="D212" s="1">
        <v>1</v>
      </c>
      <c r="E212" s="1" t="s">
        <v>525</v>
      </c>
      <c r="F212" s="4">
        <v>44901</v>
      </c>
      <c r="G212" s="4">
        <f>IF(F212="","",EDATE(F212,12)-1)</f>
        <v>45265</v>
      </c>
      <c r="H212" s="1" t="str">
        <f>IFERROR(INDEX(tblAudits[Audit Type],MATCH(B212,tblAudits[Audit ID],0)),"")</f>
        <v>HVNL Management Plan</v>
      </c>
      <c r="I212" s="1" t="str">
        <f>IF(J212="","",IFERROR(INDEX(tblOrgs[Client Name],MATCH(J212,tblOrgs[Client ABN],0)),""))</f>
        <v>LCR Group Pty Ltd</v>
      </c>
      <c r="J212" s="1">
        <f>IFERROR(INDEX(tblAudits[Client ABN],MATCH(B212,tblAudits[Audit ID],0)),"")</f>
        <v>78095626798</v>
      </c>
      <c r="K212" s="1"/>
    </row>
    <row r="213" spans="1:11" x14ac:dyDescent="0.25">
      <c r="A213" s="1" t="s">
        <v>858</v>
      </c>
      <c r="B213" s="1" t="s">
        <v>181</v>
      </c>
      <c r="C213" s="1" t="s">
        <v>859</v>
      </c>
      <c r="D213" s="1">
        <v>1</v>
      </c>
      <c r="E213" s="1" t="s">
        <v>525</v>
      </c>
      <c r="F213" s="4">
        <v>44908</v>
      </c>
      <c r="G213" s="4">
        <f>IF(F213="","",EDATE(F213,12)-1)</f>
        <v>45272</v>
      </c>
      <c r="H213" s="1" t="str">
        <f>IFERROR(INDEX(tblAudits[Audit Type],MATCH(B213,tblAudits[Audit ID],0)),"")</f>
        <v>HVNL Management Plan</v>
      </c>
      <c r="I213" s="1" t="str">
        <f>IF(J213="","",IFERROR(INDEX(tblOrgs[Client Name],MATCH(J213,tblOrgs[Client ABN],0)),""))</f>
        <v>Freight Movement Pty Ltd</v>
      </c>
      <c r="J213" s="1">
        <f>IFERROR(INDEX(tblAudits[Client ABN],MATCH(B213,tblAudits[Audit ID],0)),"")</f>
        <v>61130823933</v>
      </c>
      <c r="K213" s="1"/>
    </row>
    <row r="214" spans="1:11" x14ac:dyDescent="0.25">
      <c r="A214" s="1" t="s">
        <v>900</v>
      </c>
      <c r="B214" s="1" t="s">
        <v>202</v>
      </c>
      <c r="C214" s="1" t="s">
        <v>901</v>
      </c>
      <c r="D214" s="1">
        <v>1</v>
      </c>
      <c r="E214" s="1" t="s">
        <v>525</v>
      </c>
      <c r="F214" s="4">
        <v>44913</v>
      </c>
      <c r="G214" s="4">
        <f>IF(F214="","",EDATE(F214,12)-1)</f>
        <v>45277</v>
      </c>
      <c r="H214" s="1" t="str">
        <f>IFERROR(INDEX(tblAudits[Audit Type],MATCH(B214,tblAudits[Audit ID],0)),"")</f>
        <v>HVNL Management Plan</v>
      </c>
      <c r="I214" s="1" t="str">
        <f>IF(J214="","",IFERROR(INDEX(tblOrgs[Client Name],MATCH(J214,tblOrgs[Client ABN],0)),""))</f>
        <v>Modcast Pty Ltd</v>
      </c>
      <c r="J214" s="1">
        <f>IFERROR(INDEX(tblAudits[Client ABN],MATCH(B214,tblAudits[Audit ID],0)),"")</f>
        <v>30626198847</v>
      </c>
      <c r="K214" s="1"/>
    </row>
    <row r="215" spans="1:11" x14ac:dyDescent="0.25">
      <c r="A215" s="1" t="s">
        <v>836</v>
      </c>
      <c r="B215" s="1" t="s">
        <v>170</v>
      </c>
      <c r="C215" s="1" t="s">
        <v>837</v>
      </c>
      <c r="D215" s="1">
        <v>1</v>
      </c>
      <c r="E215" s="1" t="s">
        <v>525</v>
      </c>
      <c r="F215" s="4">
        <v>44917</v>
      </c>
      <c r="G215" s="4">
        <f>IF(F215="","",EDATE(F215,12)-1)</f>
        <v>45281</v>
      </c>
      <c r="H215" s="1" t="str">
        <f>IFERROR(INDEX(tblAudits[Audit Type],MATCH(B215,tblAudits[Audit ID],0)),"")</f>
        <v>HVNL Management Plan</v>
      </c>
      <c r="I215" s="1" t="str">
        <f>IF(J215="","",IFERROR(INDEX(tblOrgs[Client Name],MATCH(J215,tblOrgs[Client ABN],0)),""))</f>
        <v>Cono Services Pty Ltd</v>
      </c>
      <c r="J215" s="1">
        <f>IFERROR(INDEX(tblAudits[Client ABN],MATCH(B215,tblAudits[Audit ID],0)),"")</f>
        <v>90167205656</v>
      </c>
      <c r="K215" s="1"/>
    </row>
    <row r="216" spans="1:11" x14ac:dyDescent="0.25">
      <c r="A216" s="1" t="s">
        <v>1040</v>
      </c>
      <c r="B216" s="1" t="s">
        <v>272</v>
      </c>
      <c r="C216" s="1" t="s">
        <v>1041</v>
      </c>
      <c r="D216" s="1">
        <v>1</v>
      </c>
      <c r="E216" s="1" t="s">
        <v>525</v>
      </c>
      <c r="F216" s="4">
        <v>44935</v>
      </c>
      <c r="G216" s="4">
        <f>IF(F216="","",EDATE(F216,12)-1)</f>
        <v>45299</v>
      </c>
      <c r="H216" s="1" t="str">
        <f>IFERROR(INDEX(tblAudits[Audit Type],MATCH(B216,tblAudits[Audit ID],0)),"")</f>
        <v>HVNL Management Plan</v>
      </c>
      <c r="I216" s="1" t="str">
        <f>IF(J216="","",IFERROR(INDEX(tblOrgs[Client Name],MATCH(J216,tblOrgs[Client ABN],0)),""))</f>
        <v>KCJ Rail Pty Ltd</v>
      </c>
      <c r="J216" s="1">
        <f>IFERROR(INDEX(tblAudits[Client ABN],MATCH(B216,tblAudits[Audit ID],0)),"")</f>
        <v>33624597048</v>
      </c>
      <c r="K216" s="1"/>
    </row>
    <row r="217" spans="1:11" x14ac:dyDescent="0.25">
      <c r="A217" s="1" t="s">
        <v>984</v>
      </c>
      <c r="B217" s="1" t="s">
        <v>244</v>
      </c>
      <c r="C217" s="1" t="s">
        <v>985</v>
      </c>
      <c r="D217" s="1">
        <v>1</v>
      </c>
      <c r="E217" s="1" t="s">
        <v>525</v>
      </c>
      <c r="F217" s="4">
        <v>44943</v>
      </c>
      <c r="G217" s="4">
        <f>IF(F217="","",EDATE(F217,12)-1)</f>
        <v>45307</v>
      </c>
      <c r="H217" s="1" t="str">
        <f>IFERROR(INDEX(tblAudits[Audit Type],MATCH(B217,tblAudits[Audit ID],0)),"")</f>
        <v>HVNL Management Plan</v>
      </c>
      <c r="I217" s="1" t="str">
        <f>IF(J217="","",IFERROR(INDEX(tblOrgs[Client Name],MATCH(J217,tblOrgs[Client ABN],0)),""))</f>
        <v>Australian Utilities Management Pty Ltd</v>
      </c>
      <c r="J217" s="1">
        <f>IFERROR(INDEX(tblAudits[Client ABN],MATCH(B217,tblAudits[Audit ID],0)),"")</f>
        <v>50140551104</v>
      </c>
      <c r="K217" s="1"/>
    </row>
    <row r="218" spans="1:11" x14ac:dyDescent="0.25">
      <c r="A218" s="1" t="s">
        <v>1084</v>
      </c>
      <c r="B218" s="1" t="s">
        <v>294</v>
      </c>
      <c r="C218" s="1" t="s">
        <v>1085</v>
      </c>
      <c r="D218" s="1">
        <v>1</v>
      </c>
      <c r="E218" s="1" t="s">
        <v>525</v>
      </c>
      <c r="F218" s="4">
        <v>44949</v>
      </c>
      <c r="G218" s="4">
        <f>IF(F218="","",EDATE(F218,12)-1)</f>
        <v>45313</v>
      </c>
      <c r="H218" s="1" t="str">
        <f>IFERROR(INDEX(tblAudits[Audit Type],MATCH(B218,tblAudits[Audit ID],0)),"")</f>
        <v>HVNL Management Plan</v>
      </c>
      <c r="I218" s="1" t="str">
        <f>IF(J218="","",IFERROR(INDEX(tblOrgs[Client Name],MATCH(J218,tblOrgs[Client ABN],0)),""))</f>
        <v>Refire Group Pty Ltd</v>
      </c>
      <c r="J218" s="1">
        <f>IFERROR(INDEX(tblAudits[Client ABN],MATCH(B218,tblAudits[Audit ID],0)),"")</f>
        <v>72633993218</v>
      </c>
      <c r="K218" s="1"/>
    </row>
    <row r="219" spans="1:11" x14ac:dyDescent="0.25">
      <c r="A219" s="1" t="s">
        <v>1082</v>
      </c>
      <c r="B219" s="1" t="s">
        <v>293</v>
      </c>
      <c r="C219" s="1" t="s">
        <v>1083</v>
      </c>
      <c r="D219" s="1">
        <v>1</v>
      </c>
      <c r="E219" s="1" t="s">
        <v>525</v>
      </c>
      <c r="F219" s="4">
        <v>44951</v>
      </c>
      <c r="G219" s="4">
        <f>IF(F219="","",EDATE(F219,12)-1)</f>
        <v>45315</v>
      </c>
      <c r="H219" s="1" t="str">
        <f>IFERROR(INDEX(tblAudits[Audit Type],MATCH(B219,tblAudits[Audit ID],0)),"")</f>
        <v>HVNL Management Plan</v>
      </c>
      <c r="I219" s="1" t="str">
        <f>IF(J219="","",IFERROR(INDEX(tblOrgs[Client Name],MATCH(J219,tblOrgs[Client ABN],0)),""))</f>
        <v>Rail Control Systems Australia Pty Ltd</v>
      </c>
      <c r="J219" s="1">
        <f>IFERROR(INDEX(tblAudits[Client ABN],MATCH(B219,tblAudits[Audit ID],0)),"")</f>
        <v>42137934055</v>
      </c>
      <c r="K219" s="1"/>
    </row>
    <row r="220" spans="1:11" x14ac:dyDescent="0.25">
      <c r="A220" s="1" t="s">
        <v>972</v>
      </c>
      <c r="B220" s="1" t="s">
        <v>238</v>
      </c>
      <c r="C220" s="1" t="s">
        <v>973</v>
      </c>
      <c r="D220" s="1">
        <v>1</v>
      </c>
      <c r="E220" s="1" t="s">
        <v>525</v>
      </c>
      <c r="F220" s="4">
        <v>44957</v>
      </c>
      <c r="G220" s="4">
        <f>IF(F220="","",EDATE(F220,12)-1)</f>
        <v>45321</v>
      </c>
      <c r="H220" s="1" t="str">
        <f>IFERROR(INDEX(tblAudits[Audit Type],MATCH(B220,tblAudits[Audit ID],0)),"")</f>
        <v>HVNL Management Plan</v>
      </c>
      <c r="I220" s="1" t="str">
        <f>IF(J220="","",IFERROR(INDEX(tblOrgs[Client Name],MATCH(J220,tblOrgs[Client ABN],0)),""))</f>
        <v>Alimak Group Australia Pty Ltd</v>
      </c>
      <c r="J220" s="1">
        <f>IFERROR(INDEX(tblAudits[Client ABN],MATCH(B220,tblAudits[Audit ID],0)),"")</f>
        <v>80005538947</v>
      </c>
      <c r="K220" s="1"/>
    </row>
    <row r="221" spans="1:11" x14ac:dyDescent="0.25">
      <c r="A221" s="1" t="s">
        <v>1118</v>
      </c>
      <c r="B221" s="1" t="s">
        <v>311</v>
      </c>
      <c r="C221" s="1" t="s">
        <v>1119</v>
      </c>
      <c r="D221" s="1">
        <v>1</v>
      </c>
      <c r="E221" s="1" t="s">
        <v>525</v>
      </c>
      <c r="F221" s="4">
        <v>44937</v>
      </c>
      <c r="G221" s="4">
        <f>IF(F221="","",EDATE(F221,12)-1)</f>
        <v>45301</v>
      </c>
      <c r="H221" s="1" t="str">
        <f>IFERROR(INDEX(tblAudits[Audit Type],MATCH(B221,tblAudits[Audit ID],0)),"")</f>
        <v>HVNL Management Plan</v>
      </c>
      <c r="I221" s="1" t="str">
        <f>IF(J221="","",IFERROR(INDEX(tblOrgs[Client Name],MATCH(J221,tblOrgs[Client ABN],0)),""))</f>
        <v>Wessel Drilling Pty Ltd</v>
      </c>
      <c r="J221" s="1">
        <f>IFERROR(INDEX(tblAudits[Client ABN],MATCH(B221,tblAudits[Audit ID],0)),"")</f>
        <v>88604544023</v>
      </c>
      <c r="K221" s="1"/>
    </row>
    <row r="222" spans="1:11" x14ac:dyDescent="0.25">
      <c r="A222" s="1" t="s">
        <v>1006</v>
      </c>
      <c r="B222" s="1" t="s">
        <v>255</v>
      </c>
      <c r="C222" s="1" t="s">
        <v>1007</v>
      </c>
      <c r="D222" s="1">
        <v>1</v>
      </c>
      <c r="E222" s="1" t="s">
        <v>525</v>
      </c>
      <c r="F222" s="4">
        <v>44957</v>
      </c>
      <c r="G222" s="4">
        <f>IF(F222="","",EDATE(F222,12)-1)</f>
        <v>45321</v>
      </c>
      <c r="H222" s="1" t="str">
        <f>IFERROR(INDEX(tblAudits[Audit Type],MATCH(B222,tblAudits[Audit ID],0)),"")</f>
        <v>HVNL Management Plan</v>
      </c>
      <c r="I222" s="1" t="str">
        <f>IF(J222="","",IFERROR(INDEX(tblOrgs[Client Name],MATCH(J222,tblOrgs[Client ABN],0)),""))</f>
        <v>Eire Midland Constructions Pty Ltd</v>
      </c>
      <c r="J222" s="1">
        <f>IFERROR(INDEX(tblAudits[Client ABN],MATCH(B222,tblAudits[Audit ID],0)),"")</f>
        <v>45079929687</v>
      </c>
      <c r="K222" s="1"/>
    </row>
    <row r="223" spans="1:11" x14ac:dyDescent="0.25">
      <c r="A223" s="1" t="s">
        <v>1070</v>
      </c>
      <c r="B223" s="1" t="s">
        <v>287</v>
      </c>
      <c r="C223" s="1" t="s">
        <v>1071</v>
      </c>
      <c r="D223" s="1">
        <v>1</v>
      </c>
      <c r="E223" s="1" t="s">
        <v>525</v>
      </c>
      <c r="F223" s="4">
        <v>44965</v>
      </c>
      <c r="G223" s="4">
        <f>IF(F223="","",EDATE(F223,12)-1)</f>
        <v>45329</v>
      </c>
      <c r="H223" s="1" t="str">
        <f>IFERROR(INDEX(tblAudits[Audit Type],MATCH(B223,tblAudits[Audit ID],0)),"")</f>
        <v>HVNL Management Plan</v>
      </c>
      <c r="I223" s="1" t="str">
        <f>IF(J223="","",IFERROR(INDEX(tblOrgs[Client Name],MATCH(J223,tblOrgs[Client ABN],0)),""))</f>
        <v>Project Civil Group</v>
      </c>
      <c r="J223" s="1">
        <f>IFERROR(INDEX(tblAudits[Client ABN],MATCH(B223,tblAudits[Audit ID],0)),"")</f>
        <v>44636135094</v>
      </c>
      <c r="K223" s="1"/>
    </row>
    <row r="224" spans="1:11" x14ac:dyDescent="0.25">
      <c r="A224" s="1" t="s">
        <v>1020</v>
      </c>
      <c r="B224" s="1" t="s">
        <v>262</v>
      </c>
      <c r="C224" s="1" t="s">
        <v>1021</v>
      </c>
      <c r="D224" s="1">
        <v>1</v>
      </c>
      <c r="E224" s="1" t="s">
        <v>525</v>
      </c>
      <c r="F224" s="4">
        <v>44983</v>
      </c>
      <c r="G224" s="4">
        <f>IF(F224="","",EDATE(F224,12)-1)</f>
        <v>45347</v>
      </c>
      <c r="H224" s="1" t="str">
        <f>IFERROR(INDEX(tblAudits[Audit Type],MATCH(B224,tblAudits[Audit ID],0)),"")</f>
        <v>HVNL Management Plan</v>
      </c>
      <c r="I224" s="1" t="str">
        <f>IF(J224="","",IFERROR(INDEX(tblOrgs[Client Name],MATCH(J224,tblOrgs[Client ABN],0)),""))</f>
        <v>Fugen Masonry Contractors (Qld) Pty Limited</v>
      </c>
      <c r="J224" s="1">
        <f>IFERROR(INDEX(tblAudits[Client ABN],MATCH(B224,tblAudits[Audit ID],0)),"")</f>
        <v>75097686130</v>
      </c>
      <c r="K224" s="1"/>
    </row>
    <row r="225" spans="1:11" x14ac:dyDescent="0.25">
      <c r="A225" s="1" t="s">
        <v>1066</v>
      </c>
      <c r="B225" s="1" t="s">
        <v>285</v>
      </c>
      <c r="C225" s="1" t="s">
        <v>1067</v>
      </c>
      <c r="D225" s="1">
        <v>1</v>
      </c>
      <c r="E225" s="1" t="s">
        <v>525</v>
      </c>
      <c r="F225" s="4">
        <v>44973</v>
      </c>
      <c r="G225" s="4">
        <f>IF(F225="","",EDATE(F225,12)-1)</f>
        <v>45337</v>
      </c>
      <c r="H225" s="1" t="str">
        <f>IFERROR(INDEX(tblAudits[Audit Type],MATCH(B225,tblAudits[Audit ID],0)),"")</f>
        <v>HVNL Management Plan</v>
      </c>
      <c r="I225" s="1" t="str">
        <f>IF(J225="","",IFERROR(INDEX(tblOrgs[Client Name],MATCH(J225,tblOrgs[Client ABN],0)),""))</f>
        <v>Precast Concrete Solutions Pty Ltd</v>
      </c>
      <c r="J225" s="1">
        <f>IFERROR(INDEX(tblAudits[Client ABN],MATCH(B225,tblAudits[Audit ID],0)),"")</f>
        <v>90096370357</v>
      </c>
      <c r="K225" s="1"/>
    </row>
    <row r="226" spans="1:11" x14ac:dyDescent="0.25">
      <c r="A226" s="1" t="s">
        <v>1122</v>
      </c>
      <c r="B226" s="1" t="s">
        <v>313</v>
      </c>
      <c r="C226" s="1" t="s">
        <v>1123</v>
      </c>
      <c r="D226" s="1">
        <v>1</v>
      </c>
      <c r="E226" s="1" t="s">
        <v>525</v>
      </c>
      <c r="F226" s="4">
        <v>44979</v>
      </c>
      <c r="G226" s="4">
        <f>IF(F226="","",EDATE(F226,12)-1)</f>
        <v>45343</v>
      </c>
      <c r="H226" s="1" t="str">
        <f>IFERROR(INDEX(tblAudits[Audit Type],MATCH(B226,tblAudits[Audit ID],0)),"")</f>
        <v>HVNL Management Plan</v>
      </c>
      <c r="I226" s="1" t="str">
        <f>IF(J226="","",IFERROR(INDEX(tblOrgs[Client Name],MATCH(J226,tblOrgs[Client ABN],0)),""))</f>
        <v>Whyte Civil Pty Ltd</v>
      </c>
      <c r="J226" s="1">
        <f>IFERROR(INDEX(tblAudits[Client ABN],MATCH(B226,tblAudits[Audit ID],0)),"")</f>
        <v>34167594685</v>
      </c>
      <c r="K226" s="1"/>
    </row>
    <row r="227" spans="1:11" x14ac:dyDescent="0.25">
      <c r="A227" s="1" t="s">
        <v>992</v>
      </c>
      <c r="B227" s="1" t="s">
        <v>248</v>
      </c>
      <c r="C227" s="1" t="s">
        <v>993</v>
      </c>
      <c r="D227" s="1">
        <v>1</v>
      </c>
      <c r="E227" s="1" t="s">
        <v>525</v>
      </c>
      <c r="F227" s="4">
        <v>44967</v>
      </c>
      <c r="G227" s="4">
        <f>IF(F227="","",EDATE(F227,12)-1)</f>
        <v>45331</v>
      </c>
      <c r="H227" s="1" t="str">
        <f>IFERROR(INDEX(tblAudits[Audit Type],MATCH(B227,tblAudits[Audit ID],0)),"")</f>
        <v>HVNL Management Plan</v>
      </c>
      <c r="I227" s="1" t="str">
        <f>IF(J227="","",IFERROR(INDEX(tblOrgs[Client Name],MATCH(J227,tblOrgs[Client ABN],0)),""))</f>
        <v>Chess Engineering Pty Ltd</v>
      </c>
      <c r="J227" s="1">
        <f>IFERROR(INDEX(tblAudits[Client ABN],MATCH(B227,tblAudits[Audit ID],0)),"")</f>
        <v>37000615056</v>
      </c>
      <c r="K227" s="1"/>
    </row>
    <row r="228" spans="1:11" x14ac:dyDescent="0.25">
      <c r="A228" s="1" t="s">
        <v>1124</v>
      </c>
      <c r="B228" s="1" t="s">
        <v>314</v>
      </c>
      <c r="C228" s="1" t="s">
        <v>1125</v>
      </c>
      <c r="D228" s="1">
        <v>1</v>
      </c>
      <c r="E228" s="1" t="s">
        <v>525</v>
      </c>
      <c r="F228" s="4">
        <v>45007</v>
      </c>
      <c r="G228" s="4">
        <f>IF(F228="","",EDATE(F228,12)-1)</f>
        <v>45372</v>
      </c>
      <c r="H228" s="1" t="str">
        <f>IFERROR(INDEX(tblAudits[Audit Type],MATCH(B228,tblAudits[Audit ID],0)),"")</f>
        <v>HVNL Management Plan</v>
      </c>
      <c r="I228" s="1" t="str">
        <f>IF(J228="","",IFERROR(INDEX(tblOrgs[Client Name],MATCH(J228,tblOrgs[Client ABN],0)),""))</f>
        <v>Xtra Mile Trucking Pty Ltd</v>
      </c>
      <c r="J228" s="1">
        <f>IFERROR(INDEX(tblAudits[Client ABN],MATCH(B228,tblAudits[Audit ID],0)),"")</f>
        <v>97153464469</v>
      </c>
      <c r="K228" s="1"/>
    </row>
    <row r="229" spans="1:11" x14ac:dyDescent="0.25">
      <c r="A229" s="1" t="s">
        <v>986</v>
      </c>
      <c r="B229" s="1" t="s">
        <v>245</v>
      </c>
      <c r="C229" s="1" t="s">
        <v>987</v>
      </c>
      <c r="D229" s="1">
        <v>1</v>
      </c>
      <c r="E229" s="1" t="s">
        <v>525</v>
      </c>
      <c r="F229" s="4">
        <v>45010</v>
      </c>
      <c r="G229" s="4">
        <f>IF(F229="","",EDATE(F229,12)-1)</f>
        <v>45375</v>
      </c>
      <c r="H229" s="1" t="str">
        <f>IFERROR(INDEX(tblAudits[Audit Type],MATCH(B229,tblAudits[Audit ID],0)),"")</f>
        <v>HVNL Management Plan</v>
      </c>
      <c r="I229" s="1" t="str">
        <f>IF(J229="","",IFERROR(INDEX(tblOrgs[Client Name],MATCH(J229,tblOrgs[Client ABN],0)),""))</f>
        <v>Avopiling Services (NSW) Pty Ltd</v>
      </c>
      <c r="J229" s="1">
        <f>IFERROR(INDEX(tblAudits[Client ABN],MATCH(B229,tblAudits[Audit ID],0)),"")</f>
        <v>11165683349</v>
      </c>
      <c r="K229" s="1"/>
    </row>
    <row r="230" spans="1:11" x14ac:dyDescent="0.25">
      <c r="A230" s="1" t="s">
        <v>1022</v>
      </c>
      <c r="B230" s="1" t="s">
        <v>263</v>
      </c>
      <c r="C230" s="1" t="s">
        <v>1023</v>
      </c>
      <c r="D230" s="1">
        <v>1</v>
      </c>
      <c r="E230" s="1" t="s">
        <v>525</v>
      </c>
      <c r="F230" s="4">
        <v>45012</v>
      </c>
      <c r="G230" s="4">
        <f>IF(F230="","",EDATE(F230,12)-1)</f>
        <v>45377</v>
      </c>
      <c r="H230" s="1" t="str">
        <f>IFERROR(INDEX(tblAudits[Audit Type],MATCH(B230,tblAudits[Audit ID],0)),"")</f>
        <v>HVNL Management Plan</v>
      </c>
      <c r="I230" s="1" t="str">
        <f>IF(J230="","",IFERROR(INDEX(tblOrgs[Client Name],MATCH(J230,tblOrgs[Client ABN],0)),""))</f>
        <v>Gonzalez Steel Pty Limited</v>
      </c>
      <c r="J230" s="1">
        <f>IFERROR(INDEX(tblAudits[Client ABN],MATCH(B230,tblAudits[Audit ID],0)),"")</f>
        <v>97111176713</v>
      </c>
      <c r="K230" s="1"/>
    </row>
    <row r="231" spans="1:11" x14ac:dyDescent="0.25">
      <c r="A231" s="1" t="s">
        <v>1054</v>
      </c>
      <c r="B231" s="1" t="s">
        <v>279</v>
      </c>
      <c r="C231" s="1" t="s">
        <v>1055</v>
      </c>
      <c r="D231" s="1">
        <v>1</v>
      </c>
      <c r="E231" s="1" t="s">
        <v>525</v>
      </c>
      <c r="F231" s="4">
        <v>45029</v>
      </c>
      <c r="G231" s="4">
        <f>IF(F231="","",EDATE(F231,12)-1)</f>
        <v>45394</v>
      </c>
      <c r="H231" s="1" t="str">
        <f>IFERROR(INDEX(tblAudits[Audit Type],MATCH(B231,tblAudits[Audit ID],0)),"")</f>
        <v>HVNL Management Plan</v>
      </c>
      <c r="I231" s="1" t="str">
        <f>IF(J231="","",IFERROR(INDEX(tblOrgs[Client Name],MATCH(J231,tblOrgs[Client ABN],0)),""))</f>
        <v>Matrix Drilling Australia Pty Ltd</v>
      </c>
      <c r="J231" s="1">
        <f>IFERROR(INDEX(tblAudits[Client ABN],MATCH(B231,tblAudits[Audit ID],0)),"")</f>
        <v>65631934971</v>
      </c>
      <c r="K231" s="1"/>
    </row>
    <row r="232" spans="1:11" x14ac:dyDescent="0.25">
      <c r="A232" s="1" t="s">
        <v>1088</v>
      </c>
      <c r="B232" s="1" t="s">
        <v>296</v>
      </c>
      <c r="C232" s="1" t="s">
        <v>1089</v>
      </c>
      <c r="D232" s="1">
        <v>1</v>
      </c>
      <c r="E232" s="1" t="s">
        <v>525</v>
      </c>
      <c r="F232" s="4">
        <v>45013</v>
      </c>
      <c r="G232" s="4">
        <f>IF(F232="","",EDATE(F232,12)-1)</f>
        <v>45378</v>
      </c>
      <c r="H232" s="1" t="str">
        <f>IFERROR(INDEX(tblAudits[Audit Type],MATCH(B232,tblAudits[Audit ID],0)),"")</f>
        <v>HVNL Management Plan</v>
      </c>
      <c r="I232" s="1" t="str">
        <f>IF(J232="","",IFERROR(INDEX(tblOrgs[Client Name],MATCH(J232,tblOrgs[Client ABN],0)),""))</f>
        <v>Seadar Contractors Pty Ltd</v>
      </c>
      <c r="J232" s="1">
        <f>IFERROR(INDEX(tblAudits[Client ABN],MATCH(B232,tblAudits[Audit ID],0)),"")</f>
        <v>52600073087</v>
      </c>
      <c r="K232" s="1"/>
    </row>
    <row r="233" spans="1:11" x14ac:dyDescent="0.25">
      <c r="A233" s="1" t="s">
        <v>1012</v>
      </c>
      <c r="B233" s="1" t="s">
        <v>258</v>
      </c>
      <c r="C233" s="1" t="s">
        <v>1013</v>
      </c>
      <c r="D233" s="1">
        <v>1</v>
      </c>
      <c r="E233" s="1" t="s">
        <v>525</v>
      </c>
      <c r="F233" s="4">
        <v>44974</v>
      </c>
      <c r="G233" s="4">
        <f>IF(F233="","",EDATE(F233,12)-1)</f>
        <v>45338</v>
      </c>
      <c r="H233" s="1" t="str">
        <f>IFERROR(INDEX(tblAudits[Audit Type],MATCH(B233,tblAudits[Audit ID],0)),"")</f>
        <v>HVNL Management Plan</v>
      </c>
      <c r="I233" s="1" t="str">
        <f>IF(J233="","",IFERROR(INDEX(tblOrgs[Client Name],MATCH(J233,tblOrgs[Client ABN],0)),""))</f>
        <v>Evolution Group Holdings Pty Ltd</v>
      </c>
      <c r="J233" s="1">
        <f>IFERROR(INDEX(tblAudits[Client ABN],MATCH(B233,tblAudits[Audit ID],0)),"")</f>
        <v>14147834133</v>
      </c>
      <c r="K233" s="1"/>
    </row>
    <row r="234" spans="1:11" x14ac:dyDescent="0.25">
      <c r="A234" s="1" t="s">
        <v>1092</v>
      </c>
      <c r="B234" s="1" t="s">
        <v>298</v>
      </c>
      <c r="C234" s="1" t="s">
        <v>1093</v>
      </c>
      <c r="D234" s="1">
        <v>1</v>
      </c>
      <c r="E234" s="1" t="s">
        <v>525</v>
      </c>
      <c r="F234" s="4">
        <v>45030</v>
      </c>
      <c r="G234" s="4">
        <f>IF(F234="","",EDATE(F234,12)-1)</f>
        <v>45395</v>
      </c>
      <c r="H234" s="1" t="str">
        <f>IFERROR(INDEX(tblAudits[Audit Type],MATCH(B234,tblAudits[Audit ID],0)),"")</f>
        <v>HVNL Management Plan</v>
      </c>
      <c r="I234" s="1" t="str">
        <f>IF(J234="","",IFERROR(INDEX(tblOrgs[Client Name],MATCH(J234,tblOrgs[Client ABN],0)),""))</f>
        <v>Slaney Excavations Pty Ltd</v>
      </c>
      <c r="J234" s="1">
        <f>IFERROR(INDEX(tblAudits[Client ABN],MATCH(B234,tblAudits[Audit ID],0)),"")</f>
        <v>76169837316</v>
      </c>
      <c r="K234" s="1"/>
    </row>
    <row r="235" spans="1:11" x14ac:dyDescent="0.25">
      <c r="A235" s="1" t="s">
        <v>1128</v>
      </c>
      <c r="B235" s="1" t="s">
        <v>316</v>
      </c>
      <c r="C235" s="1" t="s">
        <v>1129</v>
      </c>
      <c r="D235" s="1">
        <v>1</v>
      </c>
      <c r="E235" s="1" t="s">
        <v>525</v>
      </c>
      <c r="F235" s="4">
        <v>45038</v>
      </c>
      <c r="G235" s="4">
        <f>IF(F235="","",EDATE(F235,12)-1)</f>
        <v>45403</v>
      </c>
      <c r="H235" s="1" t="str">
        <f>IFERROR(INDEX(tblAudits[Audit Type],MATCH(B235,tblAudits[Audit ID],0)),"")</f>
        <v>WHS Management System</v>
      </c>
      <c r="I235" s="1" t="str">
        <f>IF(J235="","",IFERROR(INDEX(tblOrgs[Client Name],MATCH(J235,tblOrgs[Client ABN],0)),""))</f>
        <v>Slaney Excavations Pty Ltd</v>
      </c>
      <c r="J235" s="1">
        <f>IFERROR(INDEX(tblAudits[Client ABN],MATCH(B235,tblAudits[Audit ID],0)),"")</f>
        <v>76169837316</v>
      </c>
      <c r="K235" s="1"/>
    </row>
    <row r="236" spans="1:11" x14ac:dyDescent="0.25">
      <c r="A236" s="1" t="s">
        <v>1062</v>
      </c>
      <c r="B236" s="1" t="s">
        <v>283</v>
      </c>
      <c r="C236" s="1" t="s">
        <v>1063</v>
      </c>
      <c r="D236" s="1">
        <v>1</v>
      </c>
      <c r="E236" s="1" t="s">
        <v>525</v>
      </c>
      <c r="F236" s="4">
        <v>45037</v>
      </c>
      <c r="G236" s="4">
        <f>IF(F236="","",EDATE(F236,12)-1)</f>
        <v>45402</v>
      </c>
      <c r="H236" s="1" t="str">
        <f>IFERROR(INDEX(tblAudits[Audit Type],MATCH(B236,tblAudits[Audit ID],0)),"")</f>
        <v>HVNL Management Plan</v>
      </c>
      <c r="I236" s="1" t="str">
        <f>IF(J236="","",IFERROR(INDEX(tblOrgs[Client Name],MATCH(J236,tblOrgs[Client ABN],0)),""))</f>
        <v>Outrite Hire &amp; Sales Pty Ltd</v>
      </c>
      <c r="J236" s="1">
        <f>IFERROR(INDEX(tblAudits[Client ABN],MATCH(B236,tblAudits[Audit ID],0)),"")</f>
        <v>59632942584</v>
      </c>
      <c r="K236" s="1"/>
    </row>
    <row r="237" spans="1:11" x14ac:dyDescent="0.25">
      <c r="A237" s="1" t="s">
        <v>1000</v>
      </c>
      <c r="B237" s="1" t="s">
        <v>252</v>
      </c>
      <c r="C237" s="1" t="s">
        <v>1001</v>
      </c>
      <c r="D237" s="1">
        <v>1</v>
      </c>
      <c r="E237" s="1" t="s">
        <v>525</v>
      </c>
      <c r="F237" s="4">
        <v>45039</v>
      </c>
      <c r="G237" s="4">
        <f>IF(F237="","",EDATE(F237,12)-1)</f>
        <v>45404</v>
      </c>
      <c r="H237" s="1" t="str">
        <f>IFERROR(INDEX(tblAudits[Audit Type],MATCH(B237,tblAudits[Audit ID],0)),"")</f>
        <v>HVNL Management Plan</v>
      </c>
      <c r="I237" s="1" t="str">
        <f>IF(J237="","",IFERROR(INDEX(tblOrgs[Client Name],MATCH(J237,tblOrgs[Client ABN],0)),""))</f>
        <v>Cubis Systems Australia Pty Ltd</v>
      </c>
      <c r="J237" s="1">
        <f>IFERROR(INDEX(tblAudits[Client ABN],MATCH(B237,tblAudits[Audit ID],0)),"")</f>
        <v>88108718350</v>
      </c>
      <c r="K237" s="1"/>
    </row>
    <row r="238" spans="1:11" x14ac:dyDescent="0.25">
      <c r="A238" s="1" t="s">
        <v>1076</v>
      </c>
      <c r="B238" s="1" t="s">
        <v>290</v>
      </c>
      <c r="C238" s="1" t="s">
        <v>1077</v>
      </c>
      <c r="D238" s="1">
        <v>1</v>
      </c>
      <c r="E238" s="1" t="s">
        <v>525</v>
      </c>
      <c r="F238" s="4">
        <v>45051</v>
      </c>
      <c r="G238" s="4">
        <f>IF(F238="","",EDATE(F238,12)-1)</f>
        <v>45416</v>
      </c>
      <c r="H238" s="1" t="str">
        <f>IFERROR(INDEX(tblAudits[Audit Type],MATCH(B238,tblAudits[Audit ID],0)),"")</f>
        <v>HVNL Management Plan</v>
      </c>
      <c r="I238" s="1" t="str">
        <f>IF(J238="","",IFERROR(INDEX(tblOrgs[Client Name],MATCH(J238,tblOrgs[Client ABN],0)),""))</f>
        <v>Quinnex Pty Ltd</v>
      </c>
      <c r="J238" s="1">
        <f>IFERROR(INDEX(tblAudits[Client ABN],MATCH(B238,tblAudits[Audit ID],0)),"")</f>
        <v>46151524604</v>
      </c>
      <c r="K238" s="1"/>
    </row>
    <row r="239" spans="1:11" x14ac:dyDescent="0.25">
      <c r="A239" s="1" t="s">
        <v>1008</v>
      </c>
      <c r="B239" s="1" t="s">
        <v>256</v>
      </c>
      <c r="C239" s="1" t="s">
        <v>1009</v>
      </c>
      <c r="D239" s="1">
        <v>1</v>
      </c>
      <c r="E239" s="1" t="s">
        <v>525</v>
      </c>
      <c r="F239" s="4">
        <v>45039</v>
      </c>
      <c r="G239" s="4">
        <f>IF(F239="","",EDATE(F239,12)-1)</f>
        <v>45404</v>
      </c>
      <c r="H239" s="1" t="str">
        <f>IFERROR(INDEX(tblAudits[Audit Type],MATCH(B239,tblAudits[Audit ID],0)),"")</f>
        <v>HVNL Management Plan</v>
      </c>
      <c r="I239" s="1" t="str">
        <f>IF(J239="","",IFERROR(INDEX(tblOrgs[Client Name],MATCH(J239,tblOrgs[Client ABN],0)),""))</f>
        <v>ENCO Precast Pty Ltd</v>
      </c>
      <c r="J239" s="1">
        <f>IFERROR(INDEX(tblAudits[Client ABN],MATCH(B239,tblAudits[Audit ID],0)),"")</f>
        <v>56072772037</v>
      </c>
      <c r="K239" s="1"/>
    </row>
    <row r="240" spans="1:11" x14ac:dyDescent="0.25">
      <c r="A240" s="1" t="s">
        <v>1060</v>
      </c>
      <c r="B240" s="1" t="s">
        <v>282</v>
      </c>
      <c r="C240" s="1" t="s">
        <v>1061</v>
      </c>
      <c r="D240" s="1">
        <v>1</v>
      </c>
      <c r="E240" s="1" t="s">
        <v>525</v>
      </c>
      <c r="F240" s="4">
        <v>45057</v>
      </c>
      <c r="G240" s="4">
        <f>IF(F240="","",EDATE(F240,12)-1)</f>
        <v>45422</v>
      </c>
      <c r="H240" s="1" t="str">
        <f>IFERROR(INDEX(tblAudits[Audit Type],MATCH(B240,tblAudits[Audit ID],0)),"")</f>
        <v>HVNL Management Plan</v>
      </c>
      <c r="I240" s="1" t="str">
        <f>IF(J240="","",IFERROR(INDEX(tblOrgs[Client Name],MATCH(J240,tblOrgs[Client ABN],0)),""))</f>
        <v>Newnham Trucking Pty Ltd</v>
      </c>
      <c r="J240" s="1">
        <f>IFERROR(INDEX(tblAudits[Client ABN],MATCH(B240,tblAudits[Audit ID],0)),"")</f>
        <v>25100435363</v>
      </c>
      <c r="K240" s="1"/>
    </row>
    <row r="241" spans="1:11" x14ac:dyDescent="0.25">
      <c r="A241" s="1" t="s">
        <v>810</v>
      </c>
      <c r="B241" s="1" t="s">
        <v>157</v>
      </c>
      <c r="C241" s="1" t="s">
        <v>811</v>
      </c>
      <c r="D241" s="1">
        <v>1</v>
      </c>
      <c r="E241" s="1" t="s">
        <v>525</v>
      </c>
      <c r="F241" s="4">
        <v>44629</v>
      </c>
      <c r="G241" s="4">
        <f>IF(F241="","",EDATE(F241,12)-1)</f>
        <v>44993</v>
      </c>
      <c r="H241" s="1" t="str">
        <f>IFERROR(INDEX(tblAudits[Audit Type],MATCH(B241,tblAudits[Audit ID],0)),"")</f>
        <v>HVNL Management Plan</v>
      </c>
      <c r="I241" s="1" t="str">
        <f>IF(J241="","",IFERROR(INDEX(tblOrgs[Client Name],MATCH(J241,tblOrgs[Client ABN],0)),""))</f>
        <v>Ardee Civil Pty Ltd</v>
      </c>
      <c r="J241" s="1">
        <f>IFERROR(INDEX(tblAudits[Client ABN],MATCH(B241,tblAudits[Audit ID],0)),"")</f>
        <v>98050056105</v>
      </c>
      <c r="K241" s="1"/>
    </row>
    <row r="242" spans="1:11" x14ac:dyDescent="0.25">
      <c r="A242" s="1" t="s">
        <v>1120</v>
      </c>
      <c r="B242" s="1" t="s">
        <v>312</v>
      </c>
      <c r="C242" s="1" t="s">
        <v>1121</v>
      </c>
      <c r="D242" s="1">
        <v>1</v>
      </c>
      <c r="E242" s="1" t="s">
        <v>525</v>
      </c>
      <c r="F242" s="4">
        <v>45056</v>
      </c>
      <c r="G242" s="4">
        <f>IF(F242="","",EDATE(F242,12)-1)</f>
        <v>45421</v>
      </c>
      <c r="H242" s="1" t="str">
        <f>IFERROR(INDEX(tblAudits[Audit Type],MATCH(B242,tblAudits[Audit ID],0)),"")</f>
        <v>HVNL Management Plan</v>
      </c>
      <c r="I242" s="1" t="str">
        <f>IF(J242="","",IFERROR(INDEX(tblOrgs[Client Name],MATCH(J242,tblOrgs[Client ABN],0)),""))</f>
        <v>Westkon Precast Pty Ltd</v>
      </c>
      <c r="J242" s="1">
        <f>IFERROR(INDEX(tblAudits[Client ABN],MATCH(B242,tblAudits[Audit ID],0)),"")</f>
        <v>92107423156</v>
      </c>
      <c r="K242" s="1"/>
    </row>
    <row r="243" spans="1:11" x14ac:dyDescent="0.25">
      <c r="A243" s="1" t="s">
        <v>1106</v>
      </c>
      <c r="B243" s="1" t="s">
        <v>305</v>
      </c>
      <c r="C243" s="1" t="s">
        <v>1107</v>
      </c>
      <c r="D243" s="1">
        <v>1</v>
      </c>
      <c r="E243" s="1" t="s">
        <v>525</v>
      </c>
      <c r="F243" s="4">
        <v>45028</v>
      </c>
      <c r="G243" s="4">
        <f>IF(F243="","",EDATE(F243,12)-1)</f>
        <v>45393</v>
      </c>
      <c r="H243" s="1" t="str">
        <f>IFERROR(INDEX(tblAudits[Audit Type],MATCH(B243,tblAudits[Audit ID],0)),"")</f>
        <v>HVNL Management Plan</v>
      </c>
      <c r="I243" s="1" t="str">
        <f>IF(J243="","",IFERROR(INDEX(tblOrgs[Client Name],MATCH(J243,tblOrgs[Client ABN],0)),""))</f>
        <v>T &amp; M Southern Cranes Pty Ltd</v>
      </c>
      <c r="J243" s="1">
        <f>IFERROR(INDEX(tblAudits[Client ABN],MATCH(B243,tblAudits[Audit ID],0)),"")</f>
        <v>99006697338</v>
      </c>
      <c r="K243" s="1"/>
    </row>
    <row r="244" spans="1:11" x14ac:dyDescent="0.25">
      <c r="A244" s="1" t="s">
        <v>962</v>
      </c>
      <c r="B244" s="1" t="s">
        <v>233</v>
      </c>
      <c r="C244" s="1" t="s">
        <v>963</v>
      </c>
      <c r="D244" s="1">
        <v>1</v>
      </c>
      <c r="E244" s="1" t="s">
        <v>525</v>
      </c>
      <c r="F244" s="4">
        <v>45070</v>
      </c>
      <c r="G244" s="4">
        <f>IF(F244="","",EDATE(F244,12)-1)</f>
        <v>45435</v>
      </c>
      <c r="H244" s="1" t="str">
        <f>IFERROR(INDEX(tblAudits[Audit Type],MATCH(B244,tblAudits[Audit ID],0)),"")</f>
        <v>HVNL Management Plan</v>
      </c>
      <c r="I244" s="1" t="str">
        <f>IF(J244="","",IFERROR(INDEX(tblOrgs[Client Name],MATCH(J244,tblOrgs[Client ABN],0)),""))</f>
        <v>A C Whalan &amp; Co Pty Ltd</v>
      </c>
      <c r="J244" s="1">
        <f>IFERROR(INDEX(tblAudits[Client ABN],MATCH(B244,tblAudits[Audit ID],0)),"")</f>
        <v>90003499849</v>
      </c>
      <c r="K244" s="1"/>
    </row>
    <row r="245" spans="1:11" x14ac:dyDescent="0.25">
      <c r="A245" s="1" t="s">
        <v>970</v>
      </c>
      <c r="B245" s="1" t="s">
        <v>237</v>
      </c>
      <c r="C245" s="1" t="s">
        <v>971</v>
      </c>
      <c r="D245" s="1">
        <v>1</v>
      </c>
      <c r="E245" s="1" t="s">
        <v>525</v>
      </c>
      <c r="F245" s="4">
        <v>45082</v>
      </c>
      <c r="G245" s="4">
        <f>IF(F245="","",EDATE(F245,12)-1)</f>
        <v>45447</v>
      </c>
      <c r="H245" s="1" t="str">
        <f>IFERROR(INDEX(tblAudits[Audit Type],MATCH(B245,tblAudits[Audit ID],0)),"")</f>
        <v>HVNL Management Plan</v>
      </c>
      <c r="I245" s="1" t="str">
        <f>IF(J245="","",IFERROR(INDEX(tblOrgs[Client Name],MATCH(J245,tblOrgs[Client ABN],0)),""))</f>
        <v>Advanced Weather Proofing Pty Ltd</v>
      </c>
      <c r="J245" s="1">
        <f>IFERROR(INDEX(tblAudits[Client ABN],MATCH(B245,tblAudits[Audit ID],0)),"")</f>
        <v>44113903772</v>
      </c>
      <c r="K245" s="1"/>
    </row>
    <row r="246" spans="1:11" x14ac:dyDescent="0.25">
      <c r="A246" s="1" t="s">
        <v>1034</v>
      </c>
      <c r="B246" s="1" t="s">
        <v>269</v>
      </c>
      <c r="C246" s="1" t="s">
        <v>1035</v>
      </c>
      <c r="D246" s="1">
        <v>1</v>
      </c>
      <c r="E246" s="1" t="s">
        <v>525</v>
      </c>
      <c r="F246" s="4">
        <v>45084</v>
      </c>
      <c r="G246" s="4">
        <f>IF(F246="","",EDATE(F246,12)-1)</f>
        <v>45449</v>
      </c>
      <c r="H246" s="1" t="str">
        <f>IFERROR(INDEX(tblAudits[Audit Type],MATCH(B246,tblAudits[Audit ID],0)),"")</f>
        <v>HVNL Management Plan</v>
      </c>
      <c r="I246" s="1" t="str">
        <f>IF(J246="","",IFERROR(INDEX(tblOrgs[Client Name],MATCH(J246,tblOrgs[Client ABN],0)),""))</f>
        <v>Holcim (Australia) Pty Ltd</v>
      </c>
      <c r="J246" s="1">
        <f>IFERROR(INDEX(tblAudits[Client ABN],MATCH(B246,tblAudits[Audit ID],0)),"")</f>
        <v>87099732297</v>
      </c>
      <c r="K246" s="1"/>
    </row>
    <row r="247" spans="1:11" x14ac:dyDescent="0.25">
      <c r="A247" s="1" t="s">
        <v>996</v>
      </c>
      <c r="B247" s="1" t="s">
        <v>250</v>
      </c>
      <c r="C247" s="1" t="s">
        <v>997</v>
      </c>
      <c r="D247" s="1">
        <v>1</v>
      </c>
      <c r="E247" s="1" t="s">
        <v>525</v>
      </c>
      <c r="F247" s="4">
        <v>45098</v>
      </c>
      <c r="G247" s="4">
        <f>IF(F247="","",EDATE(F247,12)-1)</f>
        <v>45463</v>
      </c>
      <c r="H247" s="1" t="str">
        <f>IFERROR(INDEX(tblAudits[Audit Type],MATCH(B247,tblAudits[Audit ID],0)),"")</f>
        <v>HVNL Management Plan</v>
      </c>
      <c r="I247" s="1" t="str">
        <f>IF(J247="","",IFERROR(INDEX(tblOrgs[Client Name],MATCH(J247,tblOrgs[Client ABN],0)),""))</f>
        <v>Comfort Sleep Bedding Pty Ltd</v>
      </c>
      <c r="J247" s="1">
        <f>IFERROR(INDEX(tblAudits[Client ABN],MATCH(B247,tblAudits[Audit ID],0)),"")</f>
        <v>52655705114</v>
      </c>
      <c r="K247" s="1"/>
    </row>
    <row r="248" spans="1:11" x14ac:dyDescent="0.25">
      <c r="A248" s="1" t="s">
        <v>966</v>
      </c>
      <c r="B248" s="1" t="s">
        <v>235</v>
      </c>
      <c r="C248" s="1" t="s">
        <v>967</v>
      </c>
      <c r="D248" s="1">
        <v>1</v>
      </c>
      <c r="E248" s="1" t="s">
        <v>525</v>
      </c>
      <c r="F248" s="4">
        <v>45091</v>
      </c>
      <c r="G248" s="4">
        <f>IF(F248="","",EDATE(F248,12)-1)</f>
        <v>45456</v>
      </c>
      <c r="H248" s="1" t="str">
        <f>IFERROR(INDEX(tblAudits[Audit Type],MATCH(B248,tblAudits[Audit ID],0)),"")</f>
        <v>HVNL Management Plan</v>
      </c>
      <c r="I248" s="1" t="str">
        <f>IF(J248="","",IFERROR(INDEX(tblOrgs[Client Name],MATCH(J248,tblOrgs[Client ABN],0)),""))</f>
        <v>Abyss Construction Pty Ltd</v>
      </c>
      <c r="J248" s="1">
        <f>IFERROR(INDEX(tblAudits[Client ABN],MATCH(B248,tblAudits[Audit ID],0)),"")</f>
        <v>50614066223</v>
      </c>
      <c r="K248" s="1"/>
    </row>
    <row r="249" spans="1:11" x14ac:dyDescent="0.25">
      <c r="A249" s="1" t="s">
        <v>1102</v>
      </c>
      <c r="B249" s="1" t="s">
        <v>303</v>
      </c>
      <c r="C249" s="1" t="s">
        <v>1103</v>
      </c>
      <c r="D249" s="1">
        <v>1</v>
      </c>
      <c r="E249" s="1" t="s">
        <v>525</v>
      </c>
      <c r="F249" s="4">
        <v>45130</v>
      </c>
      <c r="G249" s="4">
        <f>IF(F249="","",EDATE(F249,12)-1)</f>
        <v>45495</v>
      </c>
      <c r="H249" s="1" t="str">
        <f>IFERROR(INDEX(tblAudits[Audit Type],MATCH(B249,tblAudits[Audit ID],0)),"")</f>
        <v>HVNL Management Plan</v>
      </c>
      <c r="I249" s="1" t="str">
        <f>IF(J249="","",IFERROR(INDEX(tblOrgs[Client Name],MATCH(J249,tblOrgs[Client ABN],0)),""))</f>
        <v>STG Pumps Pty Ltd</v>
      </c>
      <c r="J249" s="1">
        <f>IFERROR(INDEX(tblAudits[Client ABN],MATCH(B249,tblAudits[Audit ID],0)),"")</f>
        <v>61602493872</v>
      </c>
      <c r="K249" s="1"/>
    </row>
    <row r="250" spans="1:11" x14ac:dyDescent="0.25">
      <c r="A250" s="1" t="s">
        <v>1132</v>
      </c>
      <c r="B250" s="1" t="s">
        <v>318</v>
      </c>
      <c r="C250" s="1" t="s">
        <v>1133</v>
      </c>
      <c r="D250" s="1">
        <v>1</v>
      </c>
      <c r="E250" s="1" t="s">
        <v>525</v>
      </c>
      <c r="F250" s="4">
        <v>45130</v>
      </c>
      <c r="G250" s="4">
        <f>IF(F250="","",EDATE(F250,12)-1)</f>
        <v>45495</v>
      </c>
      <c r="H250" s="1" t="str">
        <f>IFERROR(INDEX(tblAudits[Audit Type],MATCH(B250,tblAudits[Audit ID],0)),"")</f>
        <v>WHS Management System</v>
      </c>
      <c r="I250" s="1" t="str">
        <f>IF(J250="","",IFERROR(INDEX(tblOrgs[Client Name],MATCH(J250,tblOrgs[Client ABN],0)),""))</f>
        <v>STG Pumps Pty Ltd</v>
      </c>
      <c r="J250" s="1">
        <f>IFERROR(INDEX(tblAudits[Client ABN],MATCH(B250,tblAudits[Audit ID],0)),"")</f>
        <v>61602493872</v>
      </c>
      <c r="K250" s="1"/>
    </row>
    <row r="251" spans="1:11" x14ac:dyDescent="0.25">
      <c r="A251" s="1" t="s">
        <v>1038</v>
      </c>
      <c r="B251" s="1" t="s">
        <v>271</v>
      </c>
      <c r="C251" s="1" t="s">
        <v>1039</v>
      </c>
      <c r="D251" s="1">
        <v>1</v>
      </c>
      <c r="E251" s="1" t="s">
        <v>525</v>
      </c>
      <c r="F251" s="4">
        <v>45111</v>
      </c>
      <c r="G251" s="4">
        <f>IF(F251="","",EDATE(F251,12)-1)</f>
        <v>45476</v>
      </c>
      <c r="H251" s="1" t="str">
        <f>IFERROR(INDEX(tblAudits[Audit Type],MATCH(B251,tblAudits[Audit ID],0)),"")</f>
        <v>HVNL Management Plan</v>
      </c>
      <c r="I251" s="1" t="str">
        <f>IF(J251="","",IFERROR(INDEX(tblOrgs[Client Name],MATCH(J251,tblOrgs[Client ABN],0)),""))</f>
        <v>JR &amp; EG Richards (NSW) Pty Ltd</v>
      </c>
      <c r="J251" s="1">
        <f>IFERROR(INDEX(tblAudits[Client ABN],MATCH(B251,tblAudits[Audit ID],0)),"")</f>
        <v>34000526385</v>
      </c>
      <c r="K251" s="1"/>
    </row>
    <row r="252" spans="1:11" x14ac:dyDescent="0.25">
      <c r="A252" s="1" t="s">
        <v>1050</v>
      </c>
      <c r="B252" s="1" t="s">
        <v>277</v>
      </c>
      <c r="C252" s="1" t="s">
        <v>1051</v>
      </c>
      <c r="D252" s="1">
        <v>1</v>
      </c>
      <c r="E252" s="1" t="s">
        <v>525</v>
      </c>
      <c r="F252" s="4">
        <v>45116</v>
      </c>
      <c r="G252" s="4">
        <f>IF(F252="","",EDATE(F252,12)-1)</f>
        <v>45481</v>
      </c>
      <c r="H252" s="1" t="str">
        <f>IFERROR(INDEX(tblAudits[Audit Type],MATCH(B252,tblAudits[Audit ID],0)),"")</f>
        <v>HVNL Management Plan</v>
      </c>
      <c r="I252" s="1" t="str">
        <f>IF(J252="","",IFERROR(INDEX(tblOrgs[Client Name],MATCH(J252,tblOrgs[Client ABN],0)),""))</f>
        <v>Mansell Premix Pty Ltd</v>
      </c>
      <c r="J252" s="1">
        <f>IFERROR(INDEX(tblAudits[Client ABN],MATCH(B252,tblAudits[Audit ID],0)),"")</f>
        <v>11124779148</v>
      </c>
      <c r="K252" s="1"/>
    </row>
    <row r="253" spans="1:11" x14ac:dyDescent="0.25">
      <c r="A253" s="1" t="s">
        <v>1024</v>
      </c>
      <c r="B253" s="1" t="s">
        <v>264</v>
      </c>
      <c r="C253" s="1" t="s">
        <v>1025</v>
      </c>
      <c r="D253" s="1">
        <v>1</v>
      </c>
      <c r="E253" s="1" t="s">
        <v>525</v>
      </c>
      <c r="F253" s="4">
        <v>45121</v>
      </c>
      <c r="G253" s="4">
        <f>IF(F253="","",EDATE(F253,12)-1)</f>
        <v>45486</v>
      </c>
      <c r="H253" s="1" t="str">
        <f>IFERROR(INDEX(tblAudits[Audit Type],MATCH(B253,tblAudits[Audit ID],0)),"")</f>
        <v>HVNL Management Plan</v>
      </c>
      <c r="I253" s="1" t="str">
        <f>IF(J253="","",IFERROR(INDEX(tblOrgs[Client Name],MATCH(J253,tblOrgs[Client ABN],0)),""))</f>
        <v>GVP Fabricators Pty Ltd</v>
      </c>
      <c r="J253" s="1">
        <f>IFERROR(INDEX(tblAudits[Client ABN],MATCH(B253,tblAudits[Audit ID],0)),"")</f>
        <v>59082132394</v>
      </c>
      <c r="K253" s="1"/>
    </row>
    <row r="254" spans="1:11" x14ac:dyDescent="0.25">
      <c r="A254" s="1" t="s">
        <v>1068</v>
      </c>
      <c r="B254" s="1" t="s">
        <v>286</v>
      </c>
      <c r="C254" s="1" t="s">
        <v>1069</v>
      </c>
      <c r="D254" s="1">
        <v>1</v>
      </c>
      <c r="E254" s="1" t="s">
        <v>525</v>
      </c>
      <c r="F254" s="4">
        <v>45112</v>
      </c>
      <c r="G254" s="4">
        <f>IF(F254="","",EDATE(F254,12)-1)</f>
        <v>45477</v>
      </c>
      <c r="H254" s="1" t="str">
        <f>IFERROR(INDEX(tblAudits[Audit Type],MATCH(B254,tblAudits[Audit ID],0)),"")</f>
        <v>HVNL Management Plan</v>
      </c>
      <c r="I254" s="1" t="str">
        <f>IF(J254="","",IFERROR(INDEX(tblOrgs[Client Name],MATCH(J254,tblOrgs[Client ABN],0)),""))</f>
        <v>Pressure Works Pty Ltd</v>
      </c>
      <c r="J254" s="1">
        <f>IFERROR(INDEX(tblAudits[Client ABN],MATCH(B254,tblAudits[Audit ID],0)),"")</f>
        <v>94365883835</v>
      </c>
      <c r="K254" s="1"/>
    </row>
    <row r="255" spans="1:11" x14ac:dyDescent="0.25">
      <c r="A255" s="1" t="s">
        <v>1048</v>
      </c>
      <c r="B255" s="1" t="s">
        <v>276</v>
      </c>
      <c r="C255" s="1" t="s">
        <v>1049</v>
      </c>
      <c r="D255" s="1">
        <v>1</v>
      </c>
      <c r="E255" s="1" t="s">
        <v>525</v>
      </c>
      <c r="F255" s="4">
        <v>45117</v>
      </c>
      <c r="G255" s="4">
        <f>IF(F255="","",EDATE(F255,12)-1)</f>
        <v>45482</v>
      </c>
      <c r="H255" s="1" t="str">
        <f>IFERROR(INDEX(tblAudits[Audit Type],MATCH(B255,tblAudits[Audit ID],0)),"")</f>
        <v>HVNL Management Plan</v>
      </c>
      <c r="I255" s="1" t="str">
        <f>IF(J255="","",IFERROR(INDEX(tblOrgs[Client Name],MATCH(J255,tblOrgs[Client ABN],0)),""))</f>
        <v>Maas Group Holdings</v>
      </c>
      <c r="J255" s="1">
        <f>IFERROR(INDEX(tblAudits[Client ABN],MATCH(B255,tblAudits[Audit ID],0)),"")</f>
        <v>84632994542</v>
      </c>
      <c r="K255" s="1"/>
    </row>
    <row r="256" spans="1:11" x14ac:dyDescent="0.25">
      <c r="A256" s="1" t="s">
        <v>1072</v>
      </c>
      <c r="B256" s="1" t="s">
        <v>288</v>
      </c>
      <c r="C256" s="1" t="s">
        <v>1073</v>
      </c>
      <c r="D256" s="1">
        <v>1</v>
      </c>
      <c r="E256" s="1" t="s">
        <v>525</v>
      </c>
      <c r="F256" s="4">
        <v>45124</v>
      </c>
      <c r="G256" s="4">
        <f>IF(F256="","",EDATE(F256,12)-1)</f>
        <v>45489</v>
      </c>
      <c r="H256" s="1" t="str">
        <f>IFERROR(INDEX(tblAudits[Audit Type],MATCH(B256,tblAudits[Audit ID],0)),"")</f>
        <v>HVNL Management Plan</v>
      </c>
      <c r="I256" s="1" t="str">
        <f>IF(J256="","",IFERROR(INDEX(tblOrgs[Client Name],MATCH(J256,tblOrgs[Client ABN],0)),""))</f>
        <v>PWG Infrastructure Pty Ltd</v>
      </c>
      <c r="J256" s="1">
        <f>IFERROR(INDEX(tblAudits[Client ABN],MATCH(B256,tblAudits[Audit ID],0)),"")</f>
        <v>45628502410</v>
      </c>
      <c r="K256" s="1"/>
    </row>
    <row r="257" spans="1:11" x14ac:dyDescent="0.25">
      <c r="A257" s="1" t="s">
        <v>1044</v>
      </c>
      <c r="B257" s="1" t="s">
        <v>274</v>
      </c>
      <c r="C257" s="1" t="s">
        <v>1045</v>
      </c>
      <c r="D257" s="1">
        <v>1</v>
      </c>
      <c r="E257" s="1" t="s">
        <v>525</v>
      </c>
      <c r="F257" s="4">
        <v>45125</v>
      </c>
      <c r="G257" s="4">
        <f>IF(F257="","",EDATE(F257,12)-1)</f>
        <v>45490</v>
      </c>
      <c r="H257" s="1" t="str">
        <f>IFERROR(INDEX(tblAudits[Audit Type],MATCH(B257,tblAudits[Audit ID],0)),"")</f>
        <v>HVNL Management Plan</v>
      </c>
      <c r="I257" s="1" t="str">
        <f>IF(J257="","",IFERROR(INDEX(tblOrgs[Client Name],MATCH(J257,tblOrgs[Client ABN],0)),""))</f>
        <v>LC Trucking Pty Ltd</v>
      </c>
      <c r="J257" s="1">
        <f>IFERROR(INDEX(tblAudits[Client ABN],MATCH(B257,tblAudits[Audit ID],0)),"")</f>
        <v>51624255223</v>
      </c>
      <c r="K257" s="1"/>
    </row>
    <row r="258" spans="1:11" x14ac:dyDescent="0.25">
      <c r="A258" s="1" t="s">
        <v>976</v>
      </c>
      <c r="B258" s="1" t="s">
        <v>240</v>
      </c>
      <c r="C258" s="1" t="s">
        <v>977</v>
      </c>
      <c r="D258" s="1">
        <v>1</v>
      </c>
      <c r="E258" s="1" t="s">
        <v>525</v>
      </c>
      <c r="F258" s="4">
        <v>45131</v>
      </c>
      <c r="G258" s="4">
        <f>IF(F258="","",EDATE(F258,12)-1)</f>
        <v>45496</v>
      </c>
      <c r="H258" s="1" t="str">
        <f>IFERROR(INDEX(tblAudits[Audit Type],MATCH(B258,tblAudits[Audit ID],0)),"")</f>
        <v>HVNL Management Plan</v>
      </c>
      <c r="I258" s="1" t="str">
        <f>IF(J258="","",IFERROR(INDEX(tblOrgs[Client Name],MATCH(J258,tblOrgs[Client ABN],0)),""))</f>
        <v>Arcadia Global Pty Ltd</v>
      </c>
      <c r="J258" s="1">
        <f>IFERROR(INDEX(tblAudits[Client ABN],MATCH(B258,tblAudits[Audit ID],0)),"")</f>
        <v>62008668291</v>
      </c>
      <c r="K258" s="1"/>
    </row>
    <row r="259" spans="1:11" x14ac:dyDescent="0.25">
      <c r="A259" s="1" t="s">
        <v>1078</v>
      </c>
      <c r="B259" s="1" t="s">
        <v>291</v>
      </c>
      <c r="C259" s="1" t="s">
        <v>1079</v>
      </c>
      <c r="D259" s="1">
        <v>1</v>
      </c>
      <c r="E259" s="1" t="s">
        <v>525</v>
      </c>
      <c r="F259" s="4">
        <v>45131</v>
      </c>
      <c r="G259" s="4">
        <f>IF(F259="","",EDATE(F259,12)-1)</f>
        <v>45496</v>
      </c>
      <c r="H259" s="1" t="str">
        <f>IFERROR(INDEX(tblAudits[Audit Type],MATCH(B259,tblAudits[Audit ID],0)),"")</f>
        <v>HVNL Management Plan</v>
      </c>
      <c r="I259" s="1" t="str">
        <f>IF(J259="","",IFERROR(INDEX(tblOrgs[Client Name],MATCH(J259,tblOrgs[Client ABN],0)),""))</f>
        <v>RA Smith Contracting Pty Ltd</v>
      </c>
      <c r="J259" s="1">
        <f>IFERROR(INDEX(tblAudits[Client ABN],MATCH(B259,tblAudits[Audit ID],0)),"")</f>
        <v>65006694702</v>
      </c>
      <c r="K259" s="1"/>
    </row>
    <row r="260" spans="1:11" x14ac:dyDescent="0.25">
      <c r="A260" s="1" t="s">
        <v>978</v>
      </c>
      <c r="B260" s="1" t="s">
        <v>241</v>
      </c>
      <c r="C260" s="1" t="s">
        <v>979</v>
      </c>
      <c r="D260" s="1">
        <v>1</v>
      </c>
      <c r="E260" s="1" t="s">
        <v>525</v>
      </c>
      <c r="F260" s="4">
        <v>45131</v>
      </c>
      <c r="G260" s="4">
        <f>IF(F260="","",EDATE(F260,12)-1)</f>
        <v>45496</v>
      </c>
      <c r="H260" s="1" t="str">
        <f>IFERROR(INDEX(tblAudits[Audit Type],MATCH(B260,tblAudits[Audit ID],0)),"")</f>
        <v>HVNL Management Plan</v>
      </c>
      <c r="I260" s="1" t="str">
        <f>IF(J260="","",IFERROR(INDEX(tblOrgs[Client Name],MATCH(J260,tblOrgs[Client ABN],0)),""))</f>
        <v>As you like it Landscaping Pty Ltd</v>
      </c>
      <c r="J260" s="1">
        <f>IFERROR(INDEX(tblAudits[Client ABN],MATCH(B260,tblAudits[Audit ID],0)),"")</f>
        <v>51064081956</v>
      </c>
      <c r="K260" s="1"/>
    </row>
    <row r="261" spans="1:11" x14ac:dyDescent="0.25">
      <c r="A261" s="1" t="s">
        <v>1130</v>
      </c>
      <c r="B261" s="1" t="s">
        <v>317</v>
      </c>
      <c r="C261" s="1" t="s">
        <v>1131</v>
      </c>
      <c r="D261" s="1">
        <v>1</v>
      </c>
      <c r="E261" s="1" t="s">
        <v>525</v>
      </c>
      <c r="F261" s="4">
        <v>45142</v>
      </c>
      <c r="G261" s="4">
        <f>IF(F261="","",EDATE(F261,12)-1)</f>
        <v>45507</v>
      </c>
      <c r="H261" s="1" t="str">
        <f>IFERROR(INDEX(tblAudits[Audit Type],MATCH(B261,tblAudits[Audit ID],0)),"")</f>
        <v>WHS Management System</v>
      </c>
      <c r="I261" s="1" t="str">
        <f>IF(J261="","",IFERROR(INDEX(tblOrgs[Client Name],MATCH(J261,tblOrgs[Client ABN],0)),""))</f>
        <v>STG Pumps Pty Ltd</v>
      </c>
      <c r="J261" s="1">
        <f>IFERROR(INDEX(tblAudits[Client ABN],MATCH(B261,tblAudits[Audit ID],0)),"")</f>
        <v>61602493872</v>
      </c>
      <c r="K261" s="1"/>
    </row>
    <row r="262" spans="1:11" x14ac:dyDescent="0.25">
      <c r="A262" s="1" t="s">
        <v>1030</v>
      </c>
      <c r="B262" s="1" t="s">
        <v>267</v>
      </c>
      <c r="C262" s="1" t="s">
        <v>1031</v>
      </c>
      <c r="D262" s="1">
        <v>1</v>
      </c>
      <c r="E262" s="1" t="s">
        <v>525</v>
      </c>
      <c r="F262" s="4">
        <v>45149</v>
      </c>
      <c r="G262" s="4">
        <f>IF(F262="","",EDATE(F262,12)-1)</f>
        <v>45514</v>
      </c>
      <c r="H262" s="1" t="str">
        <f>IFERROR(INDEX(tblAudits[Audit Type],MATCH(B262,tblAudits[Audit ID],0)),"")</f>
        <v>HVNL Management Plan</v>
      </c>
      <c r="I262" s="1" t="str">
        <f>IF(J262="","",IFERROR(INDEX(tblOrgs[Client Name],MATCH(J262,tblOrgs[Client ABN],0)),""))</f>
        <v>HL Landscapes Pty Ltd</v>
      </c>
      <c r="J262" s="1">
        <f>IFERROR(INDEX(tblAudits[Client ABN],MATCH(B262,tblAudits[Audit ID],0)),"")</f>
        <v>92119886734</v>
      </c>
      <c r="K262" s="1"/>
    </row>
    <row r="263" spans="1:11" x14ac:dyDescent="0.25">
      <c r="A263" s="1" t="s">
        <v>1004</v>
      </c>
      <c r="B263" s="1" t="s">
        <v>254</v>
      </c>
      <c r="C263" s="1" t="s">
        <v>1005</v>
      </c>
      <c r="D263" s="1">
        <v>1</v>
      </c>
      <c r="E263" s="1" t="s">
        <v>525</v>
      </c>
      <c r="F263" s="4">
        <v>45152</v>
      </c>
      <c r="G263" s="4">
        <f>IF(F263="","",EDATE(F263,12)-1)</f>
        <v>45517</v>
      </c>
      <c r="H263" s="1" t="str">
        <f>IFERROR(INDEX(tblAudits[Audit Type],MATCH(B263,tblAudits[Audit ID],0)),"")</f>
        <v>HVNL Management Plan</v>
      </c>
      <c r="I263" s="1" t="str">
        <f>IF(J263="","",IFERROR(INDEX(tblOrgs[Client Name],MATCH(J263,tblOrgs[Client ABN],0)),""))</f>
        <v>Earthtek Excavations Pty Ltd</v>
      </c>
      <c r="J263" s="1">
        <f>IFERROR(INDEX(tblAudits[Client ABN],MATCH(B263,tblAudits[Audit ID],0)),"")</f>
        <v>54090536575</v>
      </c>
      <c r="K263" s="1"/>
    </row>
    <row r="264" spans="1:11" x14ac:dyDescent="0.25">
      <c r="A264" s="1" t="s">
        <v>1126</v>
      </c>
      <c r="B264" s="1" t="s">
        <v>315</v>
      </c>
      <c r="C264" s="1" t="s">
        <v>1127</v>
      </c>
      <c r="D264" s="1">
        <v>1</v>
      </c>
      <c r="E264" s="1" t="s">
        <v>525</v>
      </c>
      <c r="F264" s="4">
        <v>45152</v>
      </c>
      <c r="G264" s="4">
        <f>IF(F264="","",EDATE(F264,12)-1)</f>
        <v>45517</v>
      </c>
      <c r="H264" s="1" t="str">
        <f>IFERROR(INDEX(tblAudits[Audit Type],MATCH(B264,tblAudits[Audit ID],0)),"")</f>
        <v>WHS Management System</v>
      </c>
      <c r="I264" s="1" t="str">
        <f>IF(J264="","",IFERROR(INDEX(tblOrgs[Client Name],MATCH(J264,tblOrgs[Client ABN],0)),""))</f>
        <v>Earthtek Excavations Pty Ltd</v>
      </c>
      <c r="J264" s="1">
        <f>IFERROR(INDEX(tblAudits[Client ABN],MATCH(B264,tblAudits[Audit ID],0)),"")</f>
        <v>54090536575</v>
      </c>
      <c r="K264" s="1"/>
    </row>
    <row r="265" spans="1:11" x14ac:dyDescent="0.25">
      <c r="A265" s="1" t="s">
        <v>1036</v>
      </c>
      <c r="B265" s="1" t="s">
        <v>270</v>
      </c>
      <c r="C265" s="1" t="s">
        <v>1037</v>
      </c>
      <c r="D265" s="1">
        <v>1</v>
      </c>
      <c r="E265" s="1" t="s">
        <v>525</v>
      </c>
      <c r="F265" s="4">
        <v>45150</v>
      </c>
      <c r="G265" s="4">
        <f>IF(F265="","",EDATE(F265,12)-1)</f>
        <v>45515</v>
      </c>
      <c r="H265" s="1" t="str">
        <f>IFERROR(INDEX(tblAudits[Audit Type],MATCH(B265,tblAudits[Audit ID],0)),"")</f>
        <v>HVNL Management Plan</v>
      </c>
      <c r="I265" s="1" t="str">
        <f>IF(J265="","",IFERROR(INDEX(tblOrgs[Client Name],MATCH(J265,tblOrgs[Client ABN],0)),""))</f>
        <v>JKR Group Australia Pty Ltd</v>
      </c>
      <c r="J265" s="1">
        <f>IFERROR(INDEX(tblAudits[Client ABN],MATCH(B265,tblAudits[Audit ID],0)),"")</f>
        <v>98608665434</v>
      </c>
      <c r="K265" s="1"/>
    </row>
    <row r="266" spans="1:11" x14ac:dyDescent="0.25">
      <c r="A266" s="1" t="s">
        <v>988</v>
      </c>
      <c r="B266" s="1" t="s">
        <v>246</v>
      </c>
      <c r="C266" s="1" t="s">
        <v>989</v>
      </c>
      <c r="D266" s="1">
        <v>1</v>
      </c>
      <c r="E266" s="1" t="s">
        <v>525</v>
      </c>
      <c r="F266" s="4">
        <v>45120</v>
      </c>
      <c r="G266" s="4">
        <f>IF(F266="","",EDATE(F266,12)-1)</f>
        <v>45485</v>
      </c>
      <c r="H266" s="1" t="str">
        <f>IFERROR(INDEX(tblAudits[Audit Type],MATCH(B266,tblAudits[Audit ID],0)),"")</f>
        <v>HVNL Management Plan</v>
      </c>
      <c r="I266" s="1" t="str">
        <f>IF(J266="","",IFERROR(INDEX(tblOrgs[Client Name],MATCH(J266,tblOrgs[Client ABN],0)),""))</f>
        <v>Brent Young Cranes Pty Ltd</v>
      </c>
      <c r="J266" s="1">
        <f>IFERROR(INDEX(tblAudits[Client ABN],MATCH(B266,tblAudits[Audit ID],0)),"")</f>
        <v>74795954655</v>
      </c>
      <c r="K266" s="1"/>
    </row>
    <row r="267" spans="1:11" x14ac:dyDescent="0.25">
      <c r="A267" s="1" t="s">
        <v>1002</v>
      </c>
      <c r="B267" s="1" t="s">
        <v>253</v>
      </c>
      <c r="C267" s="1" t="s">
        <v>1003</v>
      </c>
      <c r="D267" s="1">
        <v>1</v>
      </c>
      <c r="E267" s="1" t="s">
        <v>525</v>
      </c>
      <c r="F267" s="4">
        <v>45168</v>
      </c>
      <c r="G267" s="4">
        <f>IF(F267="","",EDATE(F267,12)-1)</f>
        <v>45533</v>
      </c>
      <c r="H267" s="1" t="str">
        <f>IFERROR(INDEX(tblAudits[Audit Type],MATCH(B267,tblAudits[Audit ID],0)),"")</f>
        <v>HVNL Management Plan</v>
      </c>
      <c r="I267" s="1" t="str">
        <f>IF(J267="","",IFERROR(INDEX(tblOrgs[Client Name],MATCH(J267,tblOrgs[Client ABN],0)),""))</f>
        <v>Durkin Construction Pty Ltd</v>
      </c>
      <c r="J267" s="1">
        <f>IFERROR(INDEX(tblAudits[Client ABN],MATCH(B267,tblAudits[Audit ID],0)),"")</f>
        <v>73615246118</v>
      </c>
      <c r="K267" s="1"/>
    </row>
    <row r="268" spans="1:11" x14ac:dyDescent="0.25">
      <c r="A268" s="1" t="s">
        <v>1116</v>
      </c>
      <c r="B268" s="1" t="s">
        <v>310</v>
      </c>
      <c r="C268" s="1" t="s">
        <v>1117</v>
      </c>
      <c r="D268" s="1">
        <v>1</v>
      </c>
      <c r="E268" s="1" t="s">
        <v>525</v>
      </c>
      <c r="F268" s="4">
        <v>45183</v>
      </c>
      <c r="G268" s="4">
        <f>IF(F268="","",EDATE(F268,12)-1)</f>
        <v>45548</v>
      </c>
      <c r="H268" s="1" t="str">
        <f>IFERROR(INDEX(tblAudits[Audit Type],MATCH(B268,tblAudits[Audit ID],0)),"")</f>
        <v>HVNL Management Plan</v>
      </c>
      <c r="I268" s="1" t="str">
        <f>IF(J268="","",IFERROR(INDEX(tblOrgs[Client Name],MATCH(J268,tblOrgs[Client ABN],0)),""))</f>
        <v>Victorian Crane Hire Pty Ltd</v>
      </c>
      <c r="J268" s="1">
        <f>IFERROR(INDEX(tblAudits[Client ABN],MATCH(B268,tblAudits[Audit ID],0)),"")</f>
        <v>15619105092</v>
      </c>
      <c r="K268" s="1"/>
    </row>
    <row r="269" spans="1:11" x14ac:dyDescent="0.25">
      <c r="A269" s="1" t="s">
        <v>1064</v>
      </c>
      <c r="B269" s="1" t="s">
        <v>284</v>
      </c>
      <c r="C269" s="1" t="s">
        <v>1065</v>
      </c>
      <c r="D269" s="1">
        <v>1</v>
      </c>
      <c r="E269" s="1" t="s">
        <v>525</v>
      </c>
      <c r="F269" s="4">
        <v>45169</v>
      </c>
      <c r="G269" s="4">
        <f>IF(F269="","",EDATE(F269,12)-1)</f>
        <v>45534</v>
      </c>
      <c r="H269" s="1" t="str">
        <f>IFERROR(INDEX(tblAudits[Audit Type],MATCH(B269,tblAudits[Audit ID],0)),"")</f>
        <v>HVNL Management Plan</v>
      </c>
      <c r="I269" s="1" t="str">
        <f>IF(J269="","",IFERROR(INDEX(tblOrgs[Client Name],MATCH(J269,tblOrgs[Client ABN],0)),""))</f>
        <v>Patriot Tankers Pty Ltd</v>
      </c>
      <c r="J269" s="1">
        <f>IFERROR(INDEX(tblAudits[Client ABN],MATCH(B269,tblAudits[Audit ID],0)),"")</f>
        <v>58133136400</v>
      </c>
      <c r="K269" s="1"/>
    </row>
    <row r="270" spans="1:11" x14ac:dyDescent="0.25">
      <c r="A270" s="1" t="s">
        <v>1090</v>
      </c>
      <c r="B270" s="1" t="s">
        <v>297</v>
      </c>
      <c r="C270" s="1" t="s">
        <v>1091</v>
      </c>
      <c r="D270" s="1">
        <v>1</v>
      </c>
      <c r="E270" s="1" t="s">
        <v>525</v>
      </c>
      <c r="F270" s="4">
        <v>45170</v>
      </c>
      <c r="G270" s="4">
        <f>IF(F270="","",EDATE(F270,12)-1)</f>
        <v>45535</v>
      </c>
      <c r="H270" s="1" t="str">
        <f>IFERROR(INDEX(tblAudits[Audit Type],MATCH(B270,tblAudits[Audit ID],0)),"")</f>
        <v>HVNL Management Plan</v>
      </c>
      <c r="I270" s="1" t="str">
        <f>IF(J270="","",IFERROR(INDEX(tblOrgs[Client Name],MATCH(J270,tblOrgs[Client ABN],0)),""))</f>
        <v>Skeffmac Pty Ltd</v>
      </c>
      <c r="J270" s="1">
        <f>IFERROR(INDEX(tblAudits[Client ABN],MATCH(B270,tblAudits[Audit ID],0)),"")</f>
        <v>26639030774</v>
      </c>
      <c r="K270" s="1"/>
    </row>
    <row r="271" spans="1:11" x14ac:dyDescent="0.25">
      <c r="A271" s="1" t="s">
        <v>980</v>
      </c>
      <c r="B271" s="1" t="s">
        <v>242</v>
      </c>
      <c r="C271" s="1" t="s">
        <v>981</v>
      </c>
      <c r="D271" s="1">
        <v>1</v>
      </c>
      <c r="E271" s="1" t="s">
        <v>525</v>
      </c>
      <c r="F271" s="4">
        <v>45129</v>
      </c>
      <c r="G271" s="4">
        <f>IF(F271="","",EDATE(F271,12)-1)</f>
        <v>45494</v>
      </c>
      <c r="H271" s="1" t="str">
        <f>IFERROR(INDEX(tblAudits[Audit Type],MATCH(B271,tblAudits[Audit ID],0)),"")</f>
        <v>HVNL Management Plan</v>
      </c>
      <c r="I271" s="1" t="str">
        <f>IF(J271="","",IFERROR(INDEX(tblOrgs[Client Name],MATCH(J271,tblOrgs[Client ABN],0)),""))</f>
        <v>Ash (Vic) Pty Ltd</v>
      </c>
      <c r="J271" s="1">
        <f>IFERROR(INDEX(tblAudits[Client ABN],MATCH(B271,tblAudits[Audit ID],0)),"")</f>
        <v>29115372613</v>
      </c>
      <c r="K271" s="1"/>
    </row>
    <row r="272" spans="1:11" x14ac:dyDescent="0.25">
      <c r="A272" s="1" t="s">
        <v>1096</v>
      </c>
      <c r="B272" s="1" t="s">
        <v>300</v>
      </c>
      <c r="C272" s="1" t="s">
        <v>1097</v>
      </c>
      <c r="D272" s="1">
        <v>1</v>
      </c>
      <c r="E272" s="1" t="s">
        <v>525</v>
      </c>
      <c r="F272" s="4">
        <v>45188</v>
      </c>
      <c r="G272" s="4">
        <f>IF(F272="","",EDATE(F272,12)-1)</f>
        <v>45553</v>
      </c>
      <c r="H272" s="1" t="str">
        <f>IFERROR(INDEX(tblAudits[Audit Type],MATCH(B272,tblAudits[Audit ID],0)),"")</f>
        <v>HVNL Management Plan</v>
      </c>
      <c r="I272" s="1" t="str">
        <f>IF(J272="","",IFERROR(INDEX(tblOrgs[Client Name],MATCH(J272,tblOrgs[Client ABN],0)),""))</f>
        <v>Speno Rail Maintenance Australia Pty Ltd</v>
      </c>
      <c r="J272" s="1">
        <f>IFERROR(INDEX(tblAudits[Client ABN],MATCH(B272,tblAudits[Audit ID],0)),"")</f>
        <v>30009206722</v>
      </c>
      <c r="K272" s="1"/>
    </row>
    <row r="273" spans="1:11" x14ac:dyDescent="0.25">
      <c r="A273" s="1" t="s">
        <v>994</v>
      </c>
      <c r="B273" s="1" t="s">
        <v>249</v>
      </c>
      <c r="C273" s="1" t="s">
        <v>995</v>
      </c>
      <c r="D273" s="1">
        <v>1</v>
      </c>
      <c r="E273" s="1" t="s">
        <v>525</v>
      </c>
      <c r="F273" s="4">
        <v>45177</v>
      </c>
      <c r="G273" s="4">
        <f>IF(F273="","",EDATE(F273,12)-1)</f>
        <v>45542</v>
      </c>
      <c r="H273" s="1" t="str">
        <f>IFERROR(INDEX(tblAudits[Audit Type],MATCH(B273,tblAudits[Audit ID],0)),"")</f>
        <v>HVNL Management Plan</v>
      </c>
      <c r="I273" s="1" t="str">
        <f>IF(J273="","",IFERROR(INDEX(tblOrgs[Client Name],MATCH(J273,tblOrgs[Client ABN],0)),""))</f>
        <v>Coates Hire Operations Pty Limited</v>
      </c>
      <c r="J273" s="1">
        <f>IFERROR(INDEX(tblAudits[Client ABN],MATCH(B273,tblAudits[Audit ID],0)),"")</f>
        <v>99074126971</v>
      </c>
      <c r="K273" s="1"/>
    </row>
    <row r="274" spans="1:11" x14ac:dyDescent="0.25">
      <c r="A274" s="1" t="s">
        <v>982</v>
      </c>
      <c r="B274" s="1" t="s">
        <v>243</v>
      </c>
      <c r="C274" s="1" t="s">
        <v>983</v>
      </c>
      <c r="D274" s="1">
        <v>1</v>
      </c>
      <c r="E274" s="1" t="s">
        <v>525</v>
      </c>
      <c r="F274" s="4">
        <v>45184</v>
      </c>
      <c r="G274" s="4">
        <f>IF(F274="","",EDATE(F274,12)-1)</f>
        <v>45549</v>
      </c>
      <c r="H274" s="1" t="str">
        <f>IFERROR(INDEX(tblAudits[Audit Type],MATCH(B274,tblAudits[Audit ID],0)),"")</f>
        <v>HVNL Management Plan</v>
      </c>
      <c r="I274" s="1" t="str">
        <f>IF(J274="","",IFERROR(INDEX(tblOrgs[Client Name],MATCH(J274,tblOrgs[Client ABN],0)),""))</f>
        <v>Astern Group Pty Ltd</v>
      </c>
      <c r="J274" s="1">
        <f>IFERROR(INDEX(tblAudits[Client ABN],MATCH(B274,tblAudits[Audit ID],0)),"")</f>
        <v>68609740105</v>
      </c>
      <c r="K274" s="1"/>
    </row>
    <row r="275" spans="1:11" x14ac:dyDescent="0.25">
      <c r="A275" s="1" t="s">
        <v>990</v>
      </c>
      <c r="B275" s="1" t="s">
        <v>247</v>
      </c>
      <c r="C275" s="1" t="s">
        <v>991</v>
      </c>
      <c r="D275" s="1">
        <v>1</v>
      </c>
      <c r="E275" s="1" t="s">
        <v>525</v>
      </c>
      <c r="F275" s="4">
        <v>45224</v>
      </c>
      <c r="G275" s="4">
        <f>IF(F275="","",EDATE(F275,12)-1)</f>
        <v>45589</v>
      </c>
      <c r="H275" s="1" t="str">
        <f>IFERROR(INDEX(tblAudits[Audit Type],MATCH(B275,tblAudits[Audit ID],0)),"")</f>
        <v>HVNL Management Plan</v>
      </c>
      <c r="I275" s="1" t="str">
        <f>IF(J275="","",IFERROR(INDEX(tblOrgs[Client Name],MATCH(J275,tblOrgs[Client ABN],0)),""))</f>
        <v>Challenge Civil Group Pty Ltd</v>
      </c>
      <c r="J275" s="1">
        <f>IFERROR(INDEX(tblAudits[Client ABN],MATCH(B275,tblAudits[Audit ID],0)),"")</f>
        <v>34155134795</v>
      </c>
      <c r="K275" s="1"/>
    </row>
    <row r="276" spans="1:11" x14ac:dyDescent="0.25">
      <c r="A276" s="1" t="s">
        <v>1046</v>
      </c>
      <c r="B276" s="1" t="s">
        <v>275</v>
      </c>
      <c r="C276" s="1" t="s">
        <v>1047</v>
      </c>
      <c r="D276" s="1">
        <v>1</v>
      </c>
      <c r="E276" s="1" t="s">
        <v>525</v>
      </c>
      <c r="F276" s="4">
        <v>45266</v>
      </c>
      <c r="G276" s="4">
        <f>IF(F276="","",EDATE(F276,12)-1)</f>
        <v>45631</v>
      </c>
      <c r="H276" s="1" t="str">
        <f>IFERROR(INDEX(tblAudits[Audit Type],MATCH(B276,tblAudits[Audit ID],0)),"")</f>
        <v>HVNL Management Plan</v>
      </c>
      <c r="I276" s="1" t="str">
        <f>IF(J276="","",IFERROR(INDEX(tblOrgs[Client Name],MATCH(J276,tblOrgs[Client ABN],0)),""))</f>
        <v>LCR Group Pty Ltd</v>
      </c>
      <c r="J276" s="1">
        <f>IFERROR(INDEX(tblAudits[Client ABN],MATCH(B276,tblAudits[Audit ID],0)),"")</f>
        <v>78095626798</v>
      </c>
      <c r="K276" s="1"/>
    </row>
    <row r="277" spans="1:11" x14ac:dyDescent="0.25">
      <c r="A277" s="1" t="s">
        <v>1042</v>
      </c>
      <c r="B277" s="1" t="s">
        <v>273</v>
      </c>
      <c r="C277" s="1" t="s">
        <v>1043</v>
      </c>
      <c r="D277" s="1">
        <v>1</v>
      </c>
      <c r="E277" s="1" t="s">
        <v>525</v>
      </c>
      <c r="F277" s="4">
        <v>45221</v>
      </c>
      <c r="G277" s="4">
        <f>IF(F277="","",EDATE(F277,12)-1)</f>
        <v>45586</v>
      </c>
      <c r="H277" s="1" t="str">
        <f>IFERROR(INDEX(tblAudits[Audit Type],MATCH(B277,tblAudits[Audit ID],0)),"")</f>
        <v>HVNL Management Plan</v>
      </c>
      <c r="I277" s="1" t="str">
        <f>IF(J277="","",IFERROR(INDEX(tblOrgs[Client Name],MATCH(J277,tblOrgs[Client ABN],0)),""))</f>
        <v>Kenny Constructions (Aust.) Pty. Limited</v>
      </c>
      <c r="J277" s="1">
        <f>IFERROR(INDEX(tblAudits[Client ABN],MATCH(B277,tblAudits[Audit ID],0)),"")</f>
        <v>74096169416</v>
      </c>
      <c r="K277" s="1"/>
    </row>
    <row r="278" spans="1:11" x14ac:dyDescent="0.25">
      <c r="A278" s="1" t="s">
        <v>1056</v>
      </c>
      <c r="B278" s="1" t="s">
        <v>280</v>
      </c>
      <c r="C278" s="1" t="s">
        <v>1057</v>
      </c>
      <c r="D278" s="1">
        <v>1</v>
      </c>
      <c r="E278" s="1" t="s">
        <v>525</v>
      </c>
      <c r="F278" s="4">
        <v>45231</v>
      </c>
      <c r="G278" s="4">
        <f>IF(F278="","",EDATE(F278,12)-1)</f>
        <v>45596</v>
      </c>
      <c r="H278" s="1" t="str">
        <f>IFERROR(INDEX(tblAudits[Audit Type],MATCH(B278,tblAudits[Audit ID],0)),"")</f>
        <v>HVNL Management Plan</v>
      </c>
      <c r="I278" s="1" t="str">
        <f>IF(J278="","",IFERROR(INDEX(tblOrgs[Client Name],MATCH(J278,tblOrgs[Client ABN],0)),""))</f>
        <v>Modcast Pty Ltd</v>
      </c>
      <c r="J278" s="1">
        <f>IFERROR(INDEX(tblAudits[Client ABN],MATCH(B278,tblAudits[Audit ID],0)),"")</f>
        <v>30626198847</v>
      </c>
      <c r="K278" s="1"/>
    </row>
    <row r="279" spans="1:11" x14ac:dyDescent="0.25">
      <c r="A279" s="1" t="s">
        <v>1134</v>
      </c>
      <c r="B279" s="1" t="s">
        <v>319</v>
      </c>
      <c r="C279" s="1" t="s">
        <v>1135</v>
      </c>
      <c r="D279" s="1">
        <v>1</v>
      </c>
      <c r="E279" s="1" t="s">
        <v>525</v>
      </c>
      <c r="F279" s="4">
        <v>45222</v>
      </c>
      <c r="G279" s="4">
        <f>IF(F279="","",EDATE(F279,12)-1)</f>
        <v>45587</v>
      </c>
      <c r="H279" s="1" t="str">
        <f>IFERROR(INDEX(tblAudits[Audit Type],MATCH(B279,tblAudits[Audit ID],0)),"")</f>
        <v>WHS Management System</v>
      </c>
      <c r="I279" s="1" t="str">
        <f>IF(J279="","",IFERROR(INDEX(tblOrgs[Client Name],MATCH(J279,tblOrgs[Client ABN],0)),""))</f>
        <v>Wallace Concrete Pumping Pty Ltd</v>
      </c>
      <c r="J279" s="1">
        <f>IFERROR(INDEX(tblAudits[Client ABN],MATCH(B279,tblAudits[Audit ID],0)),"")</f>
        <v>49157958177</v>
      </c>
      <c r="K279" s="1"/>
    </row>
    <row r="280" spans="1:11" x14ac:dyDescent="0.25">
      <c r="A280" s="1" t="s">
        <v>1016</v>
      </c>
      <c r="B280" s="1" t="s">
        <v>260</v>
      </c>
      <c r="C280" s="1" t="s">
        <v>1017</v>
      </c>
      <c r="D280" s="1">
        <v>1</v>
      </c>
      <c r="E280" s="1" t="s">
        <v>525</v>
      </c>
      <c r="F280" s="4">
        <v>45223</v>
      </c>
      <c r="G280" s="4">
        <f>IF(F280="","",EDATE(F280,12)-1)</f>
        <v>45588</v>
      </c>
      <c r="H280" s="1" t="str">
        <f>IFERROR(INDEX(tblAudits[Audit Type],MATCH(B280,tblAudits[Audit ID],0)),"")</f>
        <v>HVNL Management Plan</v>
      </c>
      <c r="I280" s="1" t="str">
        <f>IF(J280="","",IFERROR(INDEX(tblOrgs[Client Name],MATCH(J280,tblOrgs[Client ABN],0)),""))</f>
        <v>Focus Hire Pty Ltd</v>
      </c>
      <c r="J280" s="1">
        <f>IFERROR(INDEX(tblAudits[Client ABN],MATCH(B280,tblAudits[Audit ID],0)),"")</f>
        <v>27624650406</v>
      </c>
      <c r="K280" s="1"/>
    </row>
    <row r="281" spans="1:11" x14ac:dyDescent="0.25">
      <c r="A281" s="1" t="s">
        <v>1032</v>
      </c>
      <c r="B281" s="1" t="s">
        <v>268</v>
      </c>
      <c r="C281" s="1" t="s">
        <v>1033</v>
      </c>
      <c r="D281" s="1">
        <v>1</v>
      </c>
      <c r="E281" s="1" t="s">
        <v>525</v>
      </c>
      <c r="F281" s="4">
        <v>45231</v>
      </c>
      <c r="G281" s="4">
        <f>IF(F281="","",EDATE(F281,12)-1)</f>
        <v>45596</v>
      </c>
      <c r="H281" s="1" t="str">
        <f>IFERROR(INDEX(tblAudits[Audit Type],MATCH(B281,tblAudits[Audit ID],0)),"")</f>
        <v>HVNL Management Plan</v>
      </c>
      <c r="I281" s="1" t="str">
        <f>IF(J281="","",IFERROR(INDEX(tblOrgs[Client Name],MATCH(J281,tblOrgs[Client ABN],0)),""))</f>
        <v>Holcim (Australia) Pty Ltd</v>
      </c>
      <c r="J281" s="1">
        <f>IFERROR(INDEX(tblAudits[Client ABN],MATCH(B281,tblAudits[Audit ID],0)),"")</f>
        <v>87099732297</v>
      </c>
      <c r="K281" s="1"/>
    </row>
    <row r="282" spans="1:11" x14ac:dyDescent="0.25">
      <c r="A282" s="1" t="s">
        <v>1098</v>
      </c>
      <c r="B282" s="1" t="s">
        <v>301</v>
      </c>
      <c r="C282" s="1" t="s">
        <v>1099</v>
      </c>
      <c r="D282" s="1">
        <v>1</v>
      </c>
      <c r="E282" s="1" t="s">
        <v>525</v>
      </c>
      <c r="F282" s="4">
        <v>45232</v>
      </c>
      <c r="G282" s="4">
        <f>IF(F282="","",EDATE(F282,12)-1)</f>
        <v>45597</v>
      </c>
      <c r="H282" s="1" t="str">
        <f>IFERROR(INDEX(tblAudits[Audit Type],MATCH(B282,tblAudits[Audit ID],0)),"")</f>
        <v>HVNL Management Plan</v>
      </c>
      <c r="I282" s="1" t="str">
        <f>IF(J282="","",IFERROR(INDEX(tblOrgs[Client Name],MATCH(J282,tblOrgs[Client ABN],0)),""))</f>
        <v>Stephens Plant Hire Pty Ltd</v>
      </c>
      <c r="J282" s="1">
        <f>IFERROR(INDEX(tblAudits[Client ABN],MATCH(B282,tblAudits[Audit ID],0)),"")</f>
        <v>41612483011</v>
      </c>
      <c r="K282" s="1"/>
    </row>
    <row r="283" spans="1:11" x14ac:dyDescent="0.25">
      <c r="A283" s="1" t="s">
        <v>1052</v>
      </c>
      <c r="B283" s="1" t="s">
        <v>278</v>
      </c>
      <c r="C283" s="1" t="s">
        <v>1053</v>
      </c>
      <c r="D283" s="1">
        <v>1</v>
      </c>
      <c r="E283" s="1" t="s">
        <v>525</v>
      </c>
      <c r="F283" s="4">
        <v>45228</v>
      </c>
      <c r="G283" s="4">
        <f>IF(F283="","",EDATE(F283,12)-1)</f>
        <v>45593</v>
      </c>
      <c r="H283" s="1" t="str">
        <f>IFERROR(INDEX(tblAudits[Audit Type],MATCH(B283,tblAudits[Audit ID],0)),"")</f>
        <v>HVNL Management Plan</v>
      </c>
      <c r="I283" s="1" t="str">
        <f>IF(J283="","",IFERROR(INDEX(tblOrgs[Client Name],MATCH(J283,tblOrgs[Client ABN],0)),""))</f>
        <v>Mataniel Laurate Pty Ltd</v>
      </c>
      <c r="J283" s="1">
        <f>IFERROR(INDEX(tblAudits[Client ABN],MATCH(B283,tblAudits[Audit ID],0)),"")</f>
        <v>37094906028</v>
      </c>
      <c r="K283" s="1"/>
    </row>
    <row r="284" spans="1:11" x14ac:dyDescent="0.25">
      <c r="A284" s="1" t="s">
        <v>974</v>
      </c>
      <c r="B284" s="1" t="s">
        <v>239</v>
      </c>
      <c r="C284" s="1" t="s">
        <v>975</v>
      </c>
      <c r="D284" s="1">
        <v>1</v>
      </c>
      <c r="E284" s="1" t="s">
        <v>525</v>
      </c>
      <c r="F284" s="4">
        <v>45229</v>
      </c>
      <c r="G284" s="4">
        <f>IF(F284="","",EDATE(F284,12)-1)</f>
        <v>45594</v>
      </c>
      <c r="H284" s="1" t="str">
        <f>IFERROR(INDEX(tblAudits[Audit Type],MATCH(B284,tblAudits[Audit ID],0)),"")</f>
        <v>HVNL Management Plan</v>
      </c>
      <c r="I284" s="1" t="str">
        <f>IF(J284="","",IFERROR(INDEX(tblOrgs[Client Name],MATCH(J284,tblOrgs[Client ABN],0)),""))</f>
        <v>Allfasteners Pty Ltd</v>
      </c>
      <c r="J284" s="1">
        <f>IFERROR(INDEX(tblAudits[Client ABN],MATCH(B284,tblAudits[Audit ID],0)),"")</f>
        <v>86766075300</v>
      </c>
      <c r="K284" s="1"/>
    </row>
    <row r="285" spans="1:11" x14ac:dyDescent="0.25">
      <c r="A285" s="1" t="s">
        <v>1010</v>
      </c>
      <c r="B285" s="1" t="s">
        <v>257</v>
      </c>
      <c r="C285" s="1" t="s">
        <v>1011</v>
      </c>
      <c r="D285" s="1">
        <v>1</v>
      </c>
      <c r="E285" s="1" t="s">
        <v>525</v>
      </c>
      <c r="F285" s="4">
        <v>45232</v>
      </c>
      <c r="G285" s="4">
        <f>IF(F285="","",EDATE(F285,12)-1)</f>
        <v>45597</v>
      </c>
      <c r="H285" s="1" t="str">
        <f>IFERROR(INDEX(tblAudits[Audit Type],MATCH(B285,tblAudits[Audit ID],0)),"")</f>
        <v>HVNL Management Plan</v>
      </c>
      <c r="I285" s="1" t="str">
        <f>IF(J285="","",IFERROR(INDEX(tblOrgs[Client Name],MATCH(J285,tblOrgs[Client ABN],0)),""))</f>
        <v>Evolution Group Holdings Pty Ltd</v>
      </c>
      <c r="J285" s="1">
        <f>IFERROR(INDEX(tblAudits[Client ABN],MATCH(B285,tblAudits[Audit ID],0)),"")</f>
        <v>14147834133</v>
      </c>
      <c r="K285" s="1"/>
    </row>
    <row r="286" spans="1:11" x14ac:dyDescent="0.25">
      <c r="A286" s="1" t="s">
        <v>1086</v>
      </c>
      <c r="B286" s="1" t="s">
        <v>295</v>
      </c>
      <c r="C286" s="1" t="s">
        <v>1087</v>
      </c>
      <c r="D286" s="1">
        <v>1</v>
      </c>
      <c r="E286" s="1" t="s">
        <v>525</v>
      </c>
      <c r="F286" s="4">
        <v>45231</v>
      </c>
      <c r="G286" s="4">
        <f>IF(F286="","",EDATE(F286,12)-1)</f>
        <v>45596</v>
      </c>
      <c r="H286" s="1" t="str">
        <f>IFERROR(INDEX(tblAudits[Audit Type],MATCH(B286,tblAudits[Audit ID],0)),"")</f>
        <v>HVNL Management Plan</v>
      </c>
      <c r="I286" s="1" t="str">
        <f>IF(J286="","",IFERROR(INDEX(tblOrgs[Client Name],MATCH(J286,tblOrgs[Client ABN],0)),""))</f>
        <v>Reinforced Earth Pty Ltd</v>
      </c>
      <c r="J286" s="1">
        <f>IFERROR(INDEX(tblAudits[Client ABN],MATCH(B286,tblAudits[Audit ID],0)),"")</f>
        <v>53001215327</v>
      </c>
      <c r="K286" s="1"/>
    </row>
    <row r="287" spans="1:11" x14ac:dyDescent="0.25">
      <c r="A287" s="1" t="s">
        <v>960</v>
      </c>
      <c r="B287" s="1" t="s">
        <v>232</v>
      </c>
      <c r="C287" s="1" t="s">
        <v>961</v>
      </c>
      <c r="D287" s="1">
        <v>1</v>
      </c>
      <c r="E287" s="1" t="s">
        <v>525</v>
      </c>
      <c r="F287" s="4">
        <v>45251</v>
      </c>
      <c r="G287" s="4">
        <f>IF(F287="","",EDATE(F287,12)-1)</f>
        <v>45616</v>
      </c>
      <c r="H287" s="1" t="str">
        <f>IFERROR(INDEX(tblAudits[Audit Type],MATCH(B287,tblAudits[Audit ID],0)),"")</f>
        <v>HVNL Management Plan</v>
      </c>
      <c r="I287" s="1" t="str">
        <f>IF(J287="","",IFERROR(INDEX(tblOrgs[Client Name],MATCH(J287,tblOrgs[Client ABN],0)),""))</f>
        <v>24/7 Fuels Pty Ltd</v>
      </c>
      <c r="J287" s="1">
        <f>IFERROR(INDEX(tblAudits[Client ABN],MATCH(B287,tblAudits[Audit ID],0)),"")</f>
        <v>17613791512</v>
      </c>
      <c r="K287" s="1"/>
    </row>
    <row r="288" spans="1:11" x14ac:dyDescent="0.25">
      <c r="A288" s="1" t="s">
        <v>998</v>
      </c>
      <c r="B288" s="1" t="s">
        <v>251</v>
      </c>
      <c r="C288" s="1" t="s">
        <v>999</v>
      </c>
      <c r="D288" s="1">
        <v>1</v>
      </c>
      <c r="E288" s="1" t="s">
        <v>525</v>
      </c>
      <c r="F288" s="4">
        <v>45252</v>
      </c>
      <c r="G288" s="4">
        <f>IF(F288="","",EDATE(F288,12)-1)</f>
        <v>45617</v>
      </c>
      <c r="H288" s="1" t="str">
        <f>IFERROR(INDEX(tblAudits[Audit Type],MATCH(B288,tblAudits[Audit ID],0)),"")</f>
        <v>HVNL Management Plan</v>
      </c>
      <c r="I288" s="1" t="str">
        <f>IF(J288="","",IFERROR(INDEX(tblOrgs[Client Name],MATCH(J288,tblOrgs[Client ABN],0)),""))</f>
        <v>Cono Services Pty Ltd</v>
      </c>
      <c r="J288" s="1">
        <f>IFERROR(INDEX(tblAudits[Client ABN],MATCH(B288,tblAudits[Audit ID],0)),"")</f>
        <v>90167205656</v>
      </c>
      <c r="K288" s="1"/>
    </row>
    <row r="289" spans="1:11" x14ac:dyDescent="0.25">
      <c r="A289" s="1" t="s">
        <v>1108</v>
      </c>
      <c r="B289" s="1" t="s">
        <v>306</v>
      </c>
      <c r="C289" s="1" t="s">
        <v>1109</v>
      </c>
      <c r="D289" s="1">
        <v>1</v>
      </c>
      <c r="E289" s="1" t="s">
        <v>525</v>
      </c>
      <c r="F289" s="4">
        <v>45247</v>
      </c>
      <c r="G289" s="4">
        <f>IF(F289="","",EDATE(F289,12)-1)</f>
        <v>45612</v>
      </c>
      <c r="H289" s="1" t="str">
        <f>IFERROR(INDEX(tblAudits[Audit Type],MATCH(B289,tblAudits[Audit ID],0)),"")</f>
        <v>HVNL Management Plan</v>
      </c>
      <c r="I289" s="1" t="str">
        <f>IF(J289="","",IFERROR(INDEX(tblOrgs[Client Name],MATCH(J289,tblOrgs[Client ABN],0)),""))</f>
        <v>T. Eilbeck &amp; Son Pty Ltd</v>
      </c>
      <c r="J289" s="1">
        <f>IFERROR(INDEX(tblAudits[Client ABN],MATCH(B289,tblAudits[Audit ID],0)),"")</f>
        <v>22295128214</v>
      </c>
      <c r="K289" s="1"/>
    </row>
    <row r="290" spans="1:11" x14ac:dyDescent="0.25">
      <c r="A290" s="1" t="s">
        <v>1104</v>
      </c>
      <c r="B290" s="1" t="s">
        <v>304</v>
      </c>
      <c r="C290" s="1" t="s">
        <v>1105</v>
      </c>
      <c r="D290" s="1">
        <v>1</v>
      </c>
      <c r="E290" s="1" t="s">
        <v>525</v>
      </c>
      <c r="F290" s="4">
        <v>45246</v>
      </c>
      <c r="G290" s="4">
        <f>IF(F290="","",EDATE(F290,12)-1)</f>
        <v>45611</v>
      </c>
      <c r="H290" s="1" t="str">
        <f>IFERROR(INDEX(tblAudits[Audit Type],MATCH(B290,tblAudits[Audit ID],0)),"")</f>
        <v>HVNL Management Plan</v>
      </c>
      <c r="I290" s="1" t="str">
        <f>IF(J290="","",IFERROR(INDEX(tblOrgs[Client Name],MATCH(J290,tblOrgs[Client ABN],0)),""))</f>
        <v>Symal Group Pty Ltd</v>
      </c>
      <c r="J290" s="1">
        <f>IFERROR(INDEX(tblAudits[Client ABN],MATCH(B290,tblAudits[Audit ID],0)),"")</f>
        <v>72615255466</v>
      </c>
      <c r="K290" s="1"/>
    </row>
    <row r="291" spans="1:11" x14ac:dyDescent="0.25">
      <c r="A291" s="1" t="s">
        <v>1114</v>
      </c>
      <c r="B291" s="1" t="s">
        <v>309</v>
      </c>
      <c r="C291" s="1" t="s">
        <v>1115</v>
      </c>
      <c r="D291" s="1">
        <v>1</v>
      </c>
      <c r="E291" s="1" t="s">
        <v>525</v>
      </c>
      <c r="F291" s="4">
        <v>45256</v>
      </c>
      <c r="G291" s="4">
        <f>IF(F291="","",EDATE(F291,12)-1)</f>
        <v>45621</v>
      </c>
      <c r="H291" s="1" t="str">
        <f>IFERROR(INDEX(tblAudits[Audit Type],MATCH(B291,tblAudits[Audit ID],0)),"")</f>
        <v>HVNL Management Plan</v>
      </c>
      <c r="I291" s="1" t="str">
        <f>IF(J291="","",IFERROR(INDEX(tblOrgs[Client Name],MATCH(J291,tblOrgs[Client ABN],0)),""))</f>
        <v>Trevi Australia Pty Ltd</v>
      </c>
      <c r="J291" s="1">
        <f>IFERROR(INDEX(tblAudits[Client ABN],MATCH(B291,tblAudits[Audit ID],0)),"")</f>
        <v>91161293401</v>
      </c>
      <c r="K291" s="1"/>
    </row>
    <row r="292" spans="1:11" x14ac:dyDescent="0.25">
      <c r="A292" s="1" t="s">
        <v>1094</v>
      </c>
      <c r="B292" s="1" t="s">
        <v>299</v>
      </c>
      <c r="C292" s="1" t="s">
        <v>1095</v>
      </c>
      <c r="D292" s="1">
        <v>1</v>
      </c>
      <c r="E292" s="1" t="s">
        <v>525</v>
      </c>
      <c r="F292" s="4">
        <v>45252</v>
      </c>
      <c r="G292" s="4">
        <f>IF(F292="","",EDATE(F292,12)-1)</f>
        <v>45617</v>
      </c>
      <c r="H292" s="1" t="str">
        <f>IFERROR(INDEX(tblAudits[Audit Type],MATCH(B292,tblAudits[Audit ID],0)),"")</f>
        <v>HVNL Management Plan</v>
      </c>
      <c r="I292" s="1" t="str">
        <f>IF(J292="","",IFERROR(INDEX(tblOrgs[Client Name],MATCH(J292,tblOrgs[Client ABN],0)),""))</f>
        <v>Specialized Access Pty Ltd</v>
      </c>
      <c r="J292" s="1">
        <f>IFERROR(INDEX(tblAudits[Client ABN],MATCH(B292,tblAudits[Audit ID],0)),"")</f>
        <v>48642527259</v>
      </c>
      <c r="K292" s="1"/>
    </row>
    <row r="293" spans="1:11" x14ac:dyDescent="0.25">
      <c r="A293" s="1" t="s">
        <v>1080</v>
      </c>
      <c r="B293" s="1" t="s">
        <v>292</v>
      </c>
      <c r="C293" s="1" t="s">
        <v>1081</v>
      </c>
      <c r="D293" s="1">
        <v>1</v>
      </c>
      <c r="E293" s="1" t="s">
        <v>525</v>
      </c>
      <c r="F293" s="4">
        <v>45259</v>
      </c>
      <c r="G293" s="4">
        <f>IF(F293="","",EDATE(F293,12)-1)</f>
        <v>45624</v>
      </c>
      <c r="H293" s="1" t="str">
        <f>IFERROR(INDEX(tblAudits[Audit Type],MATCH(B293,tblAudits[Audit ID],0)),"")</f>
        <v>HVNL Management Plan</v>
      </c>
      <c r="I293" s="1" t="str">
        <f>IF(J293="","",IFERROR(INDEX(tblOrgs[Client Name],MATCH(J293,tblOrgs[Client ABN],0)),""))</f>
        <v>RAF Civil Pty Ltd</v>
      </c>
      <c r="J293" s="1">
        <f>IFERROR(INDEX(tblAudits[Client ABN],MATCH(B293,tblAudits[Audit ID],0)),"")</f>
        <v>53623928003</v>
      </c>
      <c r="K293" s="1"/>
    </row>
    <row r="294" spans="1:11" x14ac:dyDescent="0.25">
      <c r="A294" s="1" t="s">
        <v>1028</v>
      </c>
      <c r="B294" s="1" t="s">
        <v>266</v>
      </c>
      <c r="C294" s="1" t="s">
        <v>1029</v>
      </c>
      <c r="D294" s="1">
        <v>1</v>
      </c>
      <c r="E294" s="1" t="s">
        <v>525</v>
      </c>
      <c r="F294" s="4">
        <v>45268</v>
      </c>
      <c r="G294" s="4">
        <f>IF(F294="","",EDATE(F294,12)-1)</f>
        <v>45633</v>
      </c>
      <c r="H294" s="1" t="str">
        <f>IFERROR(INDEX(tblAudits[Audit Type],MATCH(B294,tblAudits[Audit ID],0)),"")</f>
        <v>HVNL Management Plan</v>
      </c>
      <c r="I294" s="1" t="str">
        <f>IF(J294="","",IFERROR(INDEX(tblOrgs[Client Name],MATCH(J294,tblOrgs[Client ABN],0)),""))</f>
        <v>Hex Hire Pty Ltd</v>
      </c>
      <c r="J294" s="1">
        <f>IFERROR(INDEX(tblAudits[Client ABN],MATCH(B294,tblAudits[Audit ID],0)),"")</f>
        <v>74848500748</v>
      </c>
      <c r="K294" s="1"/>
    </row>
    <row r="295" spans="1:11" x14ac:dyDescent="0.25">
      <c r="A295" s="1" t="s">
        <v>1026</v>
      </c>
      <c r="B295" s="1" t="s">
        <v>265</v>
      </c>
      <c r="C295" s="1" t="s">
        <v>1027</v>
      </c>
      <c r="D295" s="1">
        <v>1</v>
      </c>
      <c r="E295" s="1" t="s">
        <v>525</v>
      </c>
      <c r="F295" s="4">
        <v>45268</v>
      </c>
      <c r="G295" s="4">
        <f>IF(F295="","",EDATE(F295,12)-1)</f>
        <v>45633</v>
      </c>
      <c r="H295" s="1" t="str">
        <f>IFERROR(INDEX(tblAudits[Audit Type],MATCH(B295,tblAudits[Audit ID],0)),"")</f>
        <v>HVNL Management Plan</v>
      </c>
      <c r="I295" s="1" t="str">
        <f>IF(J295="","",IFERROR(INDEX(tblOrgs[Client Name],MATCH(J295,tblOrgs[Client ABN],0)),""))</f>
        <v>HDD Drilling Pty Ltd</v>
      </c>
      <c r="J295" s="1">
        <f>IFERROR(INDEX(tblAudits[Client ABN],MATCH(B295,tblAudits[Audit ID],0)),"")</f>
        <v>20654502557</v>
      </c>
      <c r="K295" s="1"/>
    </row>
    <row r="296" spans="1:11" x14ac:dyDescent="0.25">
      <c r="A296" s="1" t="s">
        <v>964</v>
      </c>
      <c r="B296" s="1" t="s">
        <v>234</v>
      </c>
      <c r="C296" s="1" t="s">
        <v>965</v>
      </c>
      <c r="D296" s="1">
        <v>1</v>
      </c>
      <c r="E296" s="1" t="s">
        <v>525</v>
      </c>
      <c r="F296" s="4">
        <v>45218</v>
      </c>
      <c r="G296" s="4">
        <f>IF(F296="","",EDATE(F296,12)-1)</f>
        <v>45583</v>
      </c>
      <c r="H296" s="1" t="str">
        <f>IFERROR(INDEX(tblAudits[Audit Type],MATCH(B296,tblAudits[Audit ID],0)),"")</f>
        <v>HVNL Management Plan</v>
      </c>
      <c r="I296" s="1" t="str">
        <f>IF(J296="","",IFERROR(INDEX(tblOrgs[Client Name],MATCH(J296,tblOrgs[Client ABN],0)),""))</f>
        <v>Above Scaffolding Pty Ltd</v>
      </c>
      <c r="J296" s="1">
        <f>IFERROR(INDEX(tblAudits[Client ABN],MATCH(B296,tblAudits[Audit ID],0)),"")</f>
        <v>74073575201</v>
      </c>
      <c r="K296" s="1"/>
    </row>
    <row r="297" spans="1:11" x14ac:dyDescent="0.25">
      <c r="A297" s="1" t="s">
        <v>968</v>
      </c>
      <c r="B297" s="1" t="s">
        <v>236</v>
      </c>
      <c r="C297" s="1" t="s">
        <v>969</v>
      </c>
      <c r="D297" s="1">
        <v>1</v>
      </c>
      <c r="E297" s="1" t="s">
        <v>525</v>
      </c>
      <c r="F297" s="4">
        <v>45278</v>
      </c>
      <c r="G297" s="4">
        <f>IF(F297="","",EDATE(F297,12)-1)</f>
        <v>45643</v>
      </c>
      <c r="H297" s="1" t="str">
        <f>IFERROR(INDEX(tblAudits[Audit Type],MATCH(B297,tblAudits[Audit ID],0)),"")</f>
        <v>HVNL Management Plan</v>
      </c>
      <c r="I297" s="1" t="str">
        <f>IF(J297="","",IFERROR(INDEX(tblOrgs[Client Name],MATCH(J297,tblOrgs[Client ABN],0)),""))</f>
        <v>Adamson Earthmovers Services Pty Ltd</v>
      </c>
      <c r="J297" s="1">
        <f>IFERROR(INDEX(tblAudits[Client ABN],MATCH(B297,tblAudits[Audit ID],0)),"")</f>
        <v>83641467558</v>
      </c>
      <c r="K297" s="1"/>
    </row>
    <row r="298" spans="1:11" x14ac:dyDescent="0.25">
      <c r="A298" s="1" t="s">
        <v>1202</v>
      </c>
      <c r="B298" s="1" t="s">
        <v>354</v>
      </c>
      <c r="C298" s="1" t="s">
        <v>1203</v>
      </c>
      <c r="D298" s="1">
        <v>1</v>
      </c>
      <c r="E298" s="1" t="s">
        <v>525</v>
      </c>
      <c r="F298" s="4">
        <v>45322</v>
      </c>
      <c r="G298" s="4">
        <f>IF(F298="","",EDATE(F298,12)-1)</f>
        <v>45687</v>
      </c>
      <c r="H298" s="1" t="str">
        <f>IFERROR(INDEX(tblAudits[Audit Type],MATCH(B298,tblAudits[Audit ID],0)),"")</f>
        <v>HVNL Management Plan</v>
      </c>
      <c r="I298" s="1" t="str">
        <f>IF(J298="","",IFERROR(INDEX(tblOrgs[Client Name],MATCH(J298,tblOrgs[Client ABN],0)),""))</f>
        <v>Eire Midland Constructions Pty Ltd</v>
      </c>
      <c r="J298" s="1">
        <f>IFERROR(INDEX(tblAudits[Client ABN],MATCH(B298,tblAudits[Audit ID],0)),"")</f>
        <v>45079929687</v>
      </c>
      <c r="K298" s="1"/>
    </row>
    <row r="299" spans="1:11" x14ac:dyDescent="0.25">
      <c r="A299" s="1" t="s">
        <v>1172</v>
      </c>
      <c r="B299" s="1" t="s">
        <v>339</v>
      </c>
      <c r="C299" s="1" t="s">
        <v>1173</v>
      </c>
      <c r="D299" s="1">
        <v>1</v>
      </c>
      <c r="E299" s="1" t="s">
        <v>525</v>
      </c>
      <c r="F299" s="4">
        <v>45301</v>
      </c>
      <c r="G299" s="4">
        <f>IF(F299="","",EDATE(F299,12)-1)</f>
        <v>45666</v>
      </c>
      <c r="H299" s="1" t="str">
        <f>IFERROR(INDEX(tblAudits[Audit Type],MATCH(B299,tblAudits[Audit ID],0)),"")</f>
        <v>HVNL Management Plan</v>
      </c>
      <c r="I299" s="1" t="str">
        <f>IF(J299="","",IFERROR(INDEX(tblOrgs[Client Name],MATCH(J299,tblOrgs[Client ABN],0)),""))</f>
        <v>BLASK Pty Ltd</v>
      </c>
      <c r="J299" s="1">
        <f>IFERROR(INDEX(tblAudits[Client ABN],MATCH(B299,tblAudits[Audit ID],0)),"")</f>
        <v>41813267182</v>
      </c>
      <c r="K299" s="1"/>
    </row>
    <row r="300" spans="1:11" x14ac:dyDescent="0.25">
      <c r="A300" s="1" t="s">
        <v>1290</v>
      </c>
      <c r="B300" s="1" t="s">
        <v>398</v>
      </c>
      <c r="C300" s="1" t="s">
        <v>1291</v>
      </c>
      <c r="D300" s="1">
        <v>1</v>
      </c>
      <c r="E300" s="1" t="s">
        <v>525</v>
      </c>
      <c r="F300" s="4">
        <v>45316</v>
      </c>
      <c r="G300" s="4">
        <f>IF(F300="","",EDATE(F300,12)-1)</f>
        <v>45681</v>
      </c>
      <c r="H300" s="1" t="str">
        <f>IFERROR(INDEX(tblAudits[Audit Type],MATCH(B300,tblAudits[Audit ID],0)),"")</f>
        <v>HVNL Management Plan</v>
      </c>
      <c r="I300" s="1" t="str">
        <f>IF(J300="","",IFERROR(INDEX(tblOrgs[Client Name],MATCH(J300,tblOrgs[Client ABN],0)),""))</f>
        <v>Rail Control Systems Australia Pty Ltd</v>
      </c>
      <c r="J300" s="1">
        <f>IFERROR(INDEX(tblAudits[Client ABN],MATCH(B300,tblAudits[Audit ID],0)),"")</f>
        <v>42137934055</v>
      </c>
      <c r="K300" s="1"/>
    </row>
    <row r="301" spans="1:11" x14ac:dyDescent="0.25">
      <c r="A301" s="1" t="s">
        <v>1338</v>
      </c>
      <c r="B301" s="1" t="s">
        <v>422</v>
      </c>
      <c r="C301" s="1" t="s">
        <v>1339</v>
      </c>
      <c r="D301" s="1">
        <v>1</v>
      </c>
      <c r="E301" s="1" t="s">
        <v>525</v>
      </c>
      <c r="F301" s="4">
        <v>45302</v>
      </c>
      <c r="G301" s="4">
        <f>IF(F301="","",EDATE(F301,12)-1)</f>
        <v>45667</v>
      </c>
      <c r="H301" s="1" t="str">
        <f>IFERROR(INDEX(tblAudits[Audit Type],MATCH(B301,tblAudits[Audit ID],0)),"")</f>
        <v>HVNL Management Plan</v>
      </c>
      <c r="I301" s="1" t="str">
        <f>IF(J301="","",IFERROR(INDEX(tblOrgs[Client Name],MATCH(J301,tblOrgs[Client ABN],0)),""))</f>
        <v>Wessel Drilling Pty Ltd</v>
      </c>
      <c r="J301" s="1">
        <f>IFERROR(INDEX(tblAudits[Client ABN],MATCH(B301,tblAudits[Audit ID],0)),"")</f>
        <v>88604544023</v>
      </c>
      <c r="K301" s="1"/>
    </row>
    <row r="302" spans="1:11" x14ac:dyDescent="0.25">
      <c r="A302" s="1" t="s">
        <v>1316</v>
      </c>
      <c r="B302" s="1" t="s">
        <v>411</v>
      </c>
      <c r="C302" s="1" t="s">
        <v>1317</v>
      </c>
      <c r="D302" s="1">
        <v>1</v>
      </c>
      <c r="E302" s="1" t="s">
        <v>525</v>
      </c>
      <c r="F302" s="4">
        <v>45308</v>
      </c>
      <c r="G302" s="4">
        <f>IF(F302="","",EDATE(F302,12)-1)</f>
        <v>45673</v>
      </c>
      <c r="H302" s="1" t="str">
        <f>IFERROR(INDEX(tblAudits[Audit Type],MATCH(B302,tblAudits[Audit ID],0)),"")</f>
        <v>HVNL Management Plan</v>
      </c>
      <c r="I302" s="1" t="str">
        <f>IF(J302="","",IFERROR(INDEX(tblOrgs[Client Name],MATCH(J302,tblOrgs[Client ABN],0)),""))</f>
        <v>Strategic Drilling Services Services Pty Ltd</v>
      </c>
      <c r="J302" s="1">
        <f>IFERROR(INDEX(tblAudits[Client ABN],MATCH(B302,tblAudits[Audit ID],0)),"")</f>
        <v>20142894844</v>
      </c>
      <c r="K302" s="1"/>
    </row>
    <row r="303" spans="1:11" x14ac:dyDescent="0.25">
      <c r="A303" s="1" t="s">
        <v>1014</v>
      </c>
      <c r="B303" s="1" t="s">
        <v>259</v>
      </c>
      <c r="C303" s="1" t="s">
        <v>1015</v>
      </c>
      <c r="D303" s="1">
        <v>1</v>
      </c>
      <c r="E303" s="1" t="s">
        <v>525</v>
      </c>
      <c r="F303" s="4">
        <v>45221</v>
      </c>
      <c r="G303" s="4">
        <f>IF(F303="","",EDATE(F303,12)-1)</f>
        <v>45586</v>
      </c>
      <c r="H303" s="1" t="str">
        <f>IFERROR(INDEX(tblAudits[Audit Type],MATCH(B303,tblAudits[Audit ID],0)),"")</f>
        <v>HVNL Management Plan</v>
      </c>
      <c r="I303" s="1" t="str">
        <f>IF(J303="","",IFERROR(INDEX(tblOrgs[Client Name],MATCH(J303,tblOrgs[Client ABN],0)),""))</f>
        <v>Flomar Pty Ltd</v>
      </c>
      <c r="J303" s="1">
        <f>IFERROR(INDEX(tblAudits[Client ABN],MATCH(B303,tblAudits[Audit ID],0)),"")</f>
        <v>24617070407</v>
      </c>
      <c r="K303" s="1"/>
    </row>
    <row r="304" spans="1:11" x14ac:dyDescent="0.25">
      <c r="A304" s="1" t="s">
        <v>1264</v>
      </c>
      <c r="B304" s="1" t="s">
        <v>385</v>
      </c>
      <c r="C304" s="1" t="s">
        <v>1265</v>
      </c>
      <c r="D304" s="1">
        <v>1</v>
      </c>
      <c r="E304" s="1" t="s">
        <v>525</v>
      </c>
      <c r="F304" s="4">
        <v>45322</v>
      </c>
      <c r="G304" s="4">
        <f>IF(F304="","",EDATE(F304,12)-1)</f>
        <v>45687</v>
      </c>
      <c r="H304" s="1" t="str">
        <f>IFERROR(INDEX(tblAudits[Audit Type],MATCH(B304,tblAudits[Audit ID],0)),"")</f>
        <v>HVNL Management Plan</v>
      </c>
      <c r="I304" s="1" t="str">
        <f>IF(J304="","",IFERROR(INDEX(tblOrgs[Client Name],MATCH(J304,tblOrgs[Client ABN],0)),""))</f>
        <v>Mitchcon Pty Ltd</v>
      </c>
      <c r="J304" s="1">
        <f>IFERROR(INDEX(tblAudits[Client ABN],MATCH(B304,tblAudits[Audit ID],0)),"")</f>
        <v>82060623752</v>
      </c>
      <c r="K304" s="1"/>
    </row>
    <row r="305" spans="1:11" x14ac:dyDescent="0.25">
      <c r="A305" s="1" t="s">
        <v>1220</v>
      </c>
      <c r="B305" s="1" t="s">
        <v>363</v>
      </c>
      <c r="C305" s="1" t="s">
        <v>1221</v>
      </c>
      <c r="D305" s="1">
        <v>1</v>
      </c>
      <c r="E305" s="1" t="s">
        <v>525</v>
      </c>
      <c r="F305" s="4">
        <v>45348</v>
      </c>
      <c r="G305" s="4">
        <f>IF(F305="","",EDATE(F305,12)-1)</f>
        <v>45713</v>
      </c>
      <c r="H305" s="1" t="str">
        <f>IFERROR(INDEX(tblAudits[Audit Type],MATCH(B305,tblAudits[Audit ID],0)),"")</f>
        <v>HVNL Management Plan</v>
      </c>
      <c r="I305" s="1" t="str">
        <f>IF(J305="","",IFERROR(INDEX(tblOrgs[Client Name],MATCH(J305,tblOrgs[Client ABN],0)),""))</f>
        <v>Fugen Masonry Contractors (Qld) Pty Limited</v>
      </c>
      <c r="J305" s="1">
        <f>IFERROR(INDEX(tblAudits[Client ABN],MATCH(B305,tblAudits[Audit ID],0)),"")</f>
        <v>75097686130</v>
      </c>
      <c r="K305" s="1"/>
    </row>
    <row r="306" spans="1:11" x14ac:dyDescent="0.25">
      <c r="A306" s="1" t="s">
        <v>1152</v>
      </c>
      <c r="B306" s="1" t="s">
        <v>329</v>
      </c>
      <c r="C306" s="1" t="s">
        <v>1153</v>
      </c>
      <c r="D306" s="1">
        <v>1</v>
      </c>
      <c r="E306" s="1" t="s">
        <v>525</v>
      </c>
      <c r="F306" s="4">
        <v>45322</v>
      </c>
      <c r="G306" s="4">
        <f>IF(F306="","",EDATE(F306,12)-1)</f>
        <v>45687</v>
      </c>
      <c r="H306" s="1" t="str">
        <f>IFERROR(INDEX(tblAudits[Audit Type],MATCH(B306,tblAudits[Audit ID],0)),"")</f>
        <v>HVNL Management Plan</v>
      </c>
      <c r="I306" s="1" t="str">
        <f>IF(J306="","",IFERROR(INDEX(tblOrgs[Client Name],MATCH(J306,tblOrgs[Client ABN],0)),""))</f>
        <v>Alimak Group Australia Pty Ltd</v>
      </c>
      <c r="J306" s="1">
        <f>IFERROR(INDEX(tblAudits[Client ABN],MATCH(B306,tblAudits[Audit ID],0)),"")</f>
        <v>80005538947</v>
      </c>
      <c r="K306" s="1"/>
    </row>
    <row r="307" spans="1:11" x14ac:dyDescent="0.25">
      <c r="A307" s="1" t="s">
        <v>1276</v>
      </c>
      <c r="B307" s="1" t="s">
        <v>391</v>
      </c>
      <c r="C307" s="1" t="s">
        <v>1277</v>
      </c>
      <c r="D307" s="1">
        <v>1</v>
      </c>
      <c r="E307" s="1" t="s">
        <v>525</v>
      </c>
      <c r="F307" s="4">
        <v>45325</v>
      </c>
      <c r="G307" s="4">
        <f>IF(F307="","",EDATE(F307,12)-1)</f>
        <v>45690</v>
      </c>
      <c r="H307" s="1" t="str">
        <f>IFERROR(INDEX(tblAudits[Audit Type],MATCH(B307,tblAudits[Audit ID],0)),"")</f>
        <v>HVNL Management Plan</v>
      </c>
      <c r="I307" s="1" t="str">
        <f>IF(J307="","",IFERROR(INDEX(tblOrgs[Client Name],MATCH(J307,tblOrgs[Client ABN],0)),""))</f>
        <v>Pacific Hire Wangaratta Pty Ltd</v>
      </c>
      <c r="J307" s="1">
        <f>IFERROR(INDEX(tblAudits[Client ABN],MATCH(B307,tblAudits[Audit ID],0)),"")</f>
        <v>15118155785</v>
      </c>
      <c r="K307" s="1"/>
    </row>
    <row r="308" spans="1:11" x14ac:dyDescent="0.25">
      <c r="A308" s="1" t="s">
        <v>1112</v>
      </c>
      <c r="B308" s="1" t="s">
        <v>308</v>
      </c>
      <c r="C308" s="1" t="s">
        <v>1113</v>
      </c>
      <c r="D308" s="1">
        <v>1</v>
      </c>
      <c r="E308" s="1" t="s">
        <v>525</v>
      </c>
      <c r="F308" s="4">
        <v>45260</v>
      </c>
      <c r="G308" s="4">
        <f>IF(F308="","",EDATE(F308,12)-1)</f>
        <v>45625</v>
      </c>
      <c r="H308" s="1" t="str">
        <f>IFERROR(INDEX(tblAudits[Audit Type],MATCH(B308,tblAudits[Audit ID],0)),"")</f>
        <v>HVNL Management Plan</v>
      </c>
      <c r="I308" s="1" t="str">
        <f>IF(J308="","",IFERROR(INDEX(tblOrgs[Client Name],MATCH(J308,tblOrgs[Client ABN],0)),""))</f>
        <v>Taylors Freight Transport Pty Ltd</v>
      </c>
      <c r="J308" s="1">
        <f>IFERROR(INDEX(tblAudits[Client ABN],MATCH(B308,tblAudits[Audit ID],0)),"")</f>
        <v>91136398126</v>
      </c>
      <c r="K308" s="1"/>
    </row>
    <row r="309" spans="1:11" x14ac:dyDescent="0.25">
      <c r="A309" s="1" t="s">
        <v>1318</v>
      </c>
      <c r="B309" s="1" t="s">
        <v>412</v>
      </c>
      <c r="C309" s="1" t="s">
        <v>1319</v>
      </c>
      <c r="D309" s="1">
        <v>1</v>
      </c>
      <c r="E309" s="1" t="s">
        <v>525</v>
      </c>
      <c r="F309" s="4">
        <v>45334</v>
      </c>
      <c r="G309" s="4">
        <f>IF(F309="","",EDATE(F309,12)-1)</f>
        <v>45699</v>
      </c>
      <c r="H309" s="1" t="str">
        <f>IFERROR(INDEX(tblAudits[Audit Type],MATCH(B309,tblAudits[Audit ID],0)),"")</f>
        <v>HVNL Management Plan</v>
      </c>
      <c r="I309" s="1" t="str">
        <f>IF(J309="","",IFERROR(INDEX(tblOrgs[Client Name],MATCH(J309,tblOrgs[Client ABN],0)),""))</f>
        <v>Suas Civil Pty Ltd</v>
      </c>
      <c r="J309" s="1">
        <f>IFERROR(INDEX(tblAudits[Client ABN],MATCH(B309,tblAudits[Audit ID],0)),"")</f>
        <v>71630275222</v>
      </c>
      <c r="K309" s="1"/>
    </row>
    <row r="310" spans="1:11" x14ac:dyDescent="0.25">
      <c r="A310" s="1" t="s">
        <v>1166</v>
      </c>
      <c r="B310" s="1" t="s">
        <v>336</v>
      </c>
      <c r="C310" s="1" t="s">
        <v>1167</v>
      </c>
      <c r="D310" s="1">
        <v>1</v>
      </c>
      <c r="E310" s="1" t="s">
        <v>525</v>
      </c>
      <c r="F310" s="4">
        <v>45308</v>
      </c>
      <c r="G310" s="4">
        <f>IF(F310="","",EDATE(F310,12)-1)</f>
        <v>45673</v>
      </c>
      <c r="H310" s="1" t="str">
        <f>IFERROR(INDEX(tblAudits[Audit Type],MATCH(B310,tblAudits[Audit ID],0)),"")</f>
        <v>HVNL Management Plan</v>
      </c>
      <c r="I310" s="1" t="str">
        <f>IF(J310="","",IFERROR(INDEX(tblOrgs[Client Name],MATCH(J310,tblOrgs[Client ABN],0)),""))</f>
        <v>Australian Utilities Management Pty Ltd</v>
      </c>
      <c r="J310" s="1">
        <f>IFERROR(INDEX(tblAudits[Client ABN],MATCH(B310,tblAudits[Audit ID],0)),"")</f>
        <v>50140551104</v>
      </c>
      <c r="K310" s="1"/>
    </row>
    <row r="311" spans="1:11" x14ac:dyDescent="0.25">
      <c r="A311" s="1" t="s">
        <v>1330</v>
      </c>
      <c r="B311" s="1" t="s">
        <v>418</v>
      </c>
      <c r="C311" s="1" t="s">
        <v>1331</v>
      </c>
      <c r="D311" s="1">
        <v>1</v>
      </c>
      <c r="E311" s="1" t="s">
        <v>525</v>
      </c>
      <c r="F311" s="4">
        <v>45345</v>
      </c>
      <c r="G311" s="4">
        <f>IF(F311="","",EDATE(F311,12)-1)</f>
        <v>45710</v>
      </c>
      <c r="H311" s="1" t="str">
        <f>IFERROR(INDEX(tblAudits[Audit Type],MATCH(B311,tblAudits[Audit ID],0)),"")</f>
        <v>HVNL Management Plan</v>
      </c>
      <c r="I311" s="1" t="str">
        <f>IF(J311="","",IFERROR(INDEX(tblOrgs[Client Name],MATCH(J311,tblOrgs[Client ABN],0)),""))</f>
        <v>Trans Lift Crane Trucks Pty Ltd</v>
      </c>
      <c r="J311" s="1">
        <f>IFERROR(INDEX(tblAudits[Client ABN],MATCH(B311,tblAudits[Audit ID],0)),"")</f>
        <v>53899106565</v>
      </c>
      <c r="K311" s="1"/>
    </row>
    <row r="312" spans="1:11" x14ac:dyDescent="0.25">
      <c r="A312" s="1" t="s">
        <v>1328</v>
      </c>
      <c r="B312" s="1" t="s">
        <v>417</v>
      </c>
      <c r="C312" s="1" t="s">
        <v>1329</v>
      </c>
      <c r="D312" s="1">
        <v>1</v>
      </c>
      <c r="E312" s="1" t="s">
        <v>525</v>
      </c>
      <c r="F312" s="4">
        <v>45345</v>
      </c>
      <c r="G312" s="4">
        <f>IF(F312="","",EDATE(F312,12)-1)</f>
        <v>45710</v>
      </c>
      <c r="H312" s="1" t="str">
        <f>IFERROR(INDEX(tblAudits[Audit Type],MATCH(B312,tblAudits[Audit ID],0)),"")</f>
        <v>HVNL Management Plan</v>
      </c>
      <c r="I312" s="1" t="str">
        <f>IF(J312="","",IFERROR(INDEX(tblOrgs[Client Name],MATCH(J312,tblOrgs[Client ABN],0)),""))</f>
        <v>The Rix Group Pty Ltd</v>
      </c>
      <c r="J312" s="1">
        <f>IFERROR(INDEX(tblAudits[Client ABN],MATCH(B312,tblAudits[Audit ID],0)),"")</f>
        <v>50092239113</v>
      </c>
      <c r="K312" s="1"/>
    </row>
    <row r="313" spans="1:11" x14ac:dyDescent="0.25">
      <c r="A313" s="1" t="s">
        <v>1018</v>
      </c>
      <c r="B313" s="1" t="s">
        <v>261</v>
      </c>
      <c r="C313" s="1" t="s">
        <v>1019</v>
      </c>
      <c r="D313" s="1">
        <v>1</v>
      </c>
      <c r="E313" s="1" t="s">
        <v>525</v>
      </c>
      <c r="F313" s="4">
        <v>45273</v>
      </c>
      <c r="G313" s="4">
        <f>IF(F313="","",EDATE(F313,12)-1)</f>
        <v>45638</v>
      </c>
      <c r="H313" s="1" t="str">
        <f>IFERROR(INDEX(tblAudits[Audit Type],MATCH(B313,tblAudits[Audit ID],0)),"")</f>
        <v>HVNL Management Plan</v>
      </c>
      <c r="I313" s="1" t="str">
        <f>IF(J313="","",IFERROR(INDEX(tblOrgs[Client Name],MATCH(J313,tblOrgs[Client ABN],0)),""))</f>
        <v>Freight Movement Pty Ltd</v>
      </c>
      <c r="J313" s="1">
        <f>IFERROR(INDEX(tblAudits[Client ABN],MATCH(B313,tblAudits[Audit ID],0)),"")</f>
        <v>61130823933</v>
      </c>
      <c r="K313" s="1"/>
    </row>
    <row r="314" spans="1:11" x14ac:dyDescent="0.25">
      <c r="A314" s="1" t="s">
        <v>1294</v>
      </c>
      <c r="B314" s="1" t="s">
        <v>400</v>
      </c>
      <c r="C314" s="1" t="s">
        <v>1295</v>
      </c>
      <c r="D314" s="1">
        <v>1</v>
      </c>
      <c r="E314" s="1" t="s">
        <v>525</v>
      </c>
      <c r="F314" s="4">
        <v>45350</v>
      </c>
      <c r="G314" s="4">
        <f>IF(F314="","",EDATE(F314,12)-1)</f>
        <v>45715</v>
      </c>
      <c r="H314" s="1" t="str">
        <f>IFERROR(INDEX(tblAudits[Audit Type],MATCH(B314,tblAudits[Audit ID],0)),"")</f>
        <v>HVNL Management Plan</v>
      </c>
      <c r="I314" s="1" t="str">
        <f>IF(J314="","",IFERROR(INDEX(tblOrgs[Client Name],MATCH(J314,tblOrgs[Client ABN],0)),""))</f>
        <v>Rappid Haulage Pty Ltd</v>
      </c>
      <c r="J314" s="1">
        <f>IFERROR(INDEX(tblAudits[Client ABN],MATCH(B314,tblAudits[Audit ID],0)),"")</f>
        <v>30665847932</v>
      </c>
      <c r="K314" s="1"/>
    </row>
    <row r="315" spans="1:11" x14ac:dyDescent="0.25">
      <c r="A315" s="1" t="s">
        <v>1182</v>
      </c>
      <c r="B315" s="1" t="s">
        <v>344</v>
      </c>
      <c r="C315" s="1" t="s">
        <v>1183</v>
      </c>
      <c r="D315" s="1">
        <v>1</v>
      </c>
      <c r="E315" s="1" t="s">
        <v>525</v>
      </c>
      <c r="F315" s="4">
        <v>45355</v>
      </c>
      <c r="G315" s="4">
        <f>IF(F315="","",EDATE(F315,12)-1)</f>
        <v>45719</v>
      </c>
      <c r="H315" s="1" t="str">
        <f>IFERROR(INDEX(tblAudits[Audit Type],MATCH(B315,tblAudits[Audit ID],0)),"")</f>
        <v>HVNL Management Plan</v>
      </c>
      <c r="I315" s="1" t="str">
        <f>IF(J315="","",IFERROR(INDEX(tblOrgs[Client Name],MATCH(J315,tblOrgs[Client ABN],0)),""))</f>
        <v>Clifton Formwork (Vic) Pty Ltd</v>
      </c>
      <c r="J315" s="1">
        <f>IFERROR(INDEX(tblAudits[Client ABN],MATCH(B315,tblAudits[Audit ID],0)),"")</f>
        <v>30099948786</v>
      </c>
      <c r="K315" s="1"/>
    </row>
    <row r="316" spans="1:11" x14ac:dyDescent="0.25">
      <c r="A316" s="1" t="s">
        <v>1300</v>
      </c>
      <c r="B316" s="1" t="s">
        <v>403</v>
      </c>
      <c r="C316" s="1" t="s">
        <v>1301</v>
      </c>
      <c r="D316" s="1">
        <v>1</v>
      </c>
      <c r="E316" s="1" t="s">
        <v>525</v>
      </c>
      <c r="F316" s="4">
        <v>45356</v>
      </c>
      <c r="G316" s="4">
        <f>IF(F316="","",EDATE(F316,12)-1)</f>
        <v>45720</v>
      </c>
      <c r="H316" s="1" t="str">
        <f>IFERROR(INDEX(tblAudits[Audit Type],MATCH(B316,tblAudits[Audit ID],0)),"")</f>
        <v>HVNL Management Plan</v>
      </c>
      <c r="I316" s="1" t="str">
        <f>IF(J316="","",IFERROR(INDEX(tblOrgs[Client Name],MATCH(J316,tblOrgs[Client ABN],0)),""))</f>
        <v>Rojoe Pty Ltd</v>
      </c>
      <c r="J316" s="1">
        <f>IFERROR(INDEX(tblAudits[Client ABN],MATCH(B316,tblAudits[Audit ID],0)),"")</f>
        <v>38093127256</v>
      </c>
      <c r="K316" s="1"/>
    </row>
    <row r="317" spans="1:11" x14ac:dyDescent="0.25">
      <c r="A317" s="1" t="s">
        <v>1240</v>
      </c>
      <c r="B317" s="1" t="s">
        <v>373</v>
      </c>
      <c r="C317" s="1" t="s">
        <v>1241</v>
      </c>
      <c r="D317" s="1">
        <v>1</v>
      </c>
      <c r="E317" s="1" t="s">
        <v>525</v>
      </c>
      <c r="F317" s="4">
        <v>45399</v>
      </c>
      <c r="G317" s="4">
        <f>IF(F317="","",EDATE(F317,12)-1)</f>
        <v>45763</v>
      </c>
      <c r="H317" s="1" t="str">
        <f>IFERROR(INDEX(tblAudits[Audit Type],MATCH(B317,tblAudits[Audit ID],0)),"")</f>
        <v>HVNL Management Plan</v>
      </c>
      <c r="I317" s="1" t="str">
        <f>IF(J317="","",IFERROR(INDEX(tblOrgs[Client Name],MATCH(J317,tblOrgs[Client ABN],0)),""))</f>
        <v>Hydro Excavac Pty Ltd</v>
      </c>
      <c r="J317" s="1">
        <f>IFERROR(INDEX(tblAudits[Client ABN],MATCH(B317,tblAudits[Audit ID],0)),"")</f>
        <v>36159996095</v>
      </c>
      <c r="K317" s="1"/>
    </row>
    <row r="318" spans="1:11" x14ac:dyDescent="0.25">
      <c r="A318" s="1" t="s">
        <v>1100</v>
      </c>
      <c r="B318" s="1" t="s">
        <v>302</v>
      </c>
      <c r="C318" s="1" t="s">
        <v>1101</v>
      </c>
      <c r="D318" s="1">
        <v>1</v>
      </c>
      <c r="E318" s="1" t="s">
        <v>525</v>
      </c>
      <c r="F318" s="4">
        <v>45130</v>
      </c>
      <c r="G318" s="4">
        <f>IF(F318="","",EDATE(F318,12)-1)</f>
        <v>45495</v>
      </c>
      <c r="H318" s="1" t="str">
        <f>IFERROR(INDEX(tblAudits[Audit Type],MATCH(B318,tblAudits[Audit ID],0)),"")</f>
        <v>HVNL Management Plan</v>
      </c>
      <c r="I318" s="1" t="str">
        <f>IF(J318="","",IFERROR(INDEX(tblOrgs[Client Name],MATCH(J318,tblOrgs[Client ABN],0)),""))</f>
        <v>STG Pumps Pty Ltd</v>
      </c>
      <c r="J318" s="1">
        <f>IFERROR(INDEX(tblAudits[Client ABN],MATCH(B318,tblAudits[Audit ID],0)),"")</f>
        <v>61602493872</v>
      </c>
      <c r="K318" s="1"/>
    </row>
    <row r="319" spans="1:11" x14ac:dyDescent="0.25">
      <c r="A319" s="1" t="s">
        <v>1136</v>
      </c>
      <c r="B319" s="1" t="s">
        <v>320</v>
      </c>
      <c r="C319" s="1" t="s">
        <v>1137</v>
      </c>
      <c r="D319" s="1">
        <v>1</v>
      </c>
      <c r="E319" s="1" t="s">
        <v>525</v>
      </c>
      <c r="F319" s="4">
        <v>45130</v>
      </c>
      <c r="G319" s="4">
        <f>IF(F319="","",EDATE(F319,12)-1)</f>
        <v>45495</v>
      </c>
      <c r="H319" s="1" t="str">
        <f>IFERROR(INDEX(tblAudits[Audit Type],MATCH(B319,tblAudits[Audit ID],0)),"")</f>
        <v>WHSEQ Integrated Management System</v>
      </c>
      <c r="I319" s="1" t="str">
        <f>IF(J319="","",IFERROR(INDEX(tblOrgs[Client Name],MATCH(J319,tblOrgs[Client ABN],0)),""))</f>
        <v>STG Pumps Pty Ltd</v>
      </c>
      <c r="J319" s="1">
        <f>IFERROR(INDEX(tblAudits[Client ABN],MATCH(B319,tblAudits[Audit ID],0)),"")</f>
        <v>61602493872</v>
      </c>
      <c r="K319" s="1"/>
    </row>
    <row r="320" spans="1:11" x14ac:dyDescent="0.25">
      <c r="A320" s="1" t="s">
        <v>626</v>
      </c>
      <c r="B320" s="1" t="s">
        <v>65</v>
      </c>
      <c r="C320" s="1" t="s">
        <v>627</v>
      </c>
      <c r="D320" s="1">
        <v>1</v>
      </c>
      <c r="E320" s="1" t="s">
        <v>525</v>
      </c>
      <c r="F320" s="4">
        <v>44128</v>
      </c>
      <c r="G320" s="4">
        <f>IF(F320="","",EDATE(F320,12)-1)</f>
        <v>44492</v>
      </c>
      <c r="H320" s="1" t="str">
        <f>IFERROR(INDEX(tblAudits[Audit Type],MATCH(B320,tblAudits[Audit ID],0)),"")</f>
        <v>WHS Management System</v>
      </c>
      <c r="I320" s="1" t="str">
        <f>IF(J320="","",IFERROR(INDEX(tblOrgs[Client Name],MATCH(J320,tblOrgs[Client ABN],0)),""))</f>
        <v>Wallace Concrete Pumping Pty Ltd</v>
      </c>
      <c r="J320" s="1">
        <f>IFERROR(INDEX(tblAudits[Client ABN],MATCH(B320,tblAudits[Audit ID],0)),"")</f>
        <v>49157958177</v>
      </c>
      <c r="K320" s="1"/>
    </row>
    <row r="321" spans="1:11" x14ac:dyDescent="0.25">
      <c r="A321" s="1" t="s">
        <v>796</v>
      </c>
      <c r="B321" s="1" t="s">
        <v>150</v>
      </c>
      <c r="C321" s="1" t="s">
        <v>797</v>
      </c>
      <c r="D321" s="1">
        <v>1</v>
      </c>
      <c r="E321" s="1" t="s">
        <v>525</v>
      </c>
      <c r="F321" s="4">
        <v>44322</v>
      </c>
      <c r="G321" s="4">
        <f>IF(F321="","",EDATE(F321,12)-1)</f>
        <v>44686</v>
      </c>
      <c r="H321" s="1" t="str">
        <f>IFERROR(INDEX(tblAudits[Audit Type],MATCH(B321,tblAudits[Audit ID],0)),"")</f>
        <v>WHS Management System</v>
      </c>
      <c r="I321" s="1" t="str">
        <f>IF(J321="","",IFERROR(INDEX(tblOrgs[Client Name],MATCH(J321,tblOrgs[Client ABN],0)),""))</f>
        <v>G M S Contractors Pty Ltd</v>
      </c>
      <c r="J321" s="1">
        <f>IFERROR(INDEX(tblAudits[Client ABN],MATCH(B321,tblAudits[Audit ID],0)),"")</f>
        <v>24611730002</v>
      </c>
      <c r="K321" s="1"/>
    </row>
    <row r="322" spans="1:11" x14ac:dyDescent="0.25">
      <c r="A322" s="1" t="s">
        <v>800</v>
      </c>
      <c r="B322" s="1" t="s">
        <v>152</v>
      </c>
      <c r="C322" s="1" t="s">
        <v>801</v>
      </c>
      <c r="D322" s="1">
        <v>1</v>
      </c>
      <c r="E322" s="1" t="s">
        <v>525</v>
      </c>
      <c r="F322" s="4">
        <v>44493</v>
      </c>
      <c r="G322" s="4">
        <f>IF(F322="","",EDATE(F322,12)-1)</f>
        <v>44857</v>
      </c>
      <c r="H322" s="1" t="str">
        <f>IFERROR(INDEX(tblAudits[Audit Type],MATCH(B322,tblAudits[Audit ID],0)),"")</f>
        <v>WHS Management System</v>
      </c>
      <c r="I322" s="1" t="str">
        <f>IF(J322="","",IFERROR(INDEX(tblOrgs[Client Name],MATCH(J322,tblOrgs[Client ABN],0)),""))</f>
        <v>Wallace Concrete Pumping Pty Ltd</v>
      </c>
      <c r="J322" s="1">
        <f>IFERROR(INDEX(tblAudits[Client ABN],MATCH(B322,tblAudits[Audit ID],0)),"")</f>
        <v>49157958177</v>
      </c>
      <c r="K322" s="1"/>
    </row>
    <row r="323" spans="1:11" x14ac:dyDescent="0.25">
      <c r="A323" s="1" t="s">
        <v>1302</v>
      </c>
      <c r="B323" s="1" t="s">
        <v>404</v>
      </c>
      <c r="C323" s="1" t="s">
        <v>1303</v>
      </c>
      <c r="D323" s="1">
        <v>1</v>
      </c>
      <c r="E323" s="1" t="s">
        <v>525</v>
      </c>
      <c r="F323" s="4">
        <v>45379</v>
      </c>
      <c r="G323" s="4">
        <f>IF(F323="","",EDATE(F323,12)-1)</f>
        <v>45743</v>
      </c>
      <c r="H323" s="1" t="str">
        <f>IFERROR(INDEX(tblAudits[Audit Type],MATCH(B323,tblAudits[Audit ID],0)),"")</f>
        <v>HVNL Management Plan</v>
      </c>
      <c r="I323" s="1" t="str">
        <f>IF(J323="","",IFERROR(INDEX(tblOrgs[Client Name],MATCH(J323,tblOrgs[Client ABN],0)),""))</f>
        <v>Seadar Contractors Pty Ltd</v>
      </c>
      <c r="J323" s="1">
        <f>IFERROR(INDEX(tblAudits[Client ABN],MATCH(B323,tblAudits[Audit ID],0)),"")</f>
        <v>52600073087</v>
      </c>
      <c r="K323" s="1"/>
    </row>
    <row r="324" spans="1:11" x14ac:dyDescent="0.25">
      <c r="A324" s="1" t="s">
        <v>1344</v>
      </c>
      <c r="B324" s="1" t="s">
        <v>425</v>
      </c>
      <c r="C324" s="1" t="s">
        <v>1345</v>
      </c>
      <c r="D324" s="1">
        <v>1</v>
      </c>
      <c r="E324" s="1" t="s">
        <v>525</v>
      </c>
      <c r="F324" s="4">
        <v>45373</v>
      </c>
      <c r="G324" s="4">
        <f>IF(F324="","",EDATE(F324,12)-1)</f>
        <v>45737</v>
      </c>
      <c r="H324" s="1" t="str">
        <f>IFERROR(INDEX(tblAudits[Audit Type],MATCH(B324,tblAudits[Audit ID],0)),"")</f>
        <v>HVNL Management Plan</v>
      </c>
      <c r="I324" s="1" t="str">
        <f>IF(J324="","",IFERROR(INDEX(tblOrgs[Client Name],MATCH(J324,tblOrgs[Client ABN],0)),""))</f>
        <v>Xtra Mile Trucking Pty Ltd</v>
      </c>
      <c r="J324" s="1">
        <f>IFERROR(INDEX(tblAudits[Client ABN],MATCH(B324,tblAudits[Audit ID],0)),"")</f>
        <v>97153464469</v>
      </c>
      <c r="K324" s="1"/>
    </row>
    <row r="325" spans="1:11" x14ac:dyDescent="0.25">
      <c r="A325" s="1" t="s">
        <v>1204</v>
      </c>
      <c r="B325" s="1" t="s">
        <v>355</v>
      </c>
      <c r="C325" s="1" t="s">
        <v>1205</v>
      </c>
      <c r="D325" s="1">
        <v>1</v>
      </c>
      <c r="E325" s="1" t="s">
        <v>525</v>
      </c>
      <c r="F325" s="4">
        <v>45405</v>
      </c>
      <c r="G325" s="4">
        <f>IF(F325="","",EDATE(F325,12)-1)</f>
        <v>45769</v>
      </c>
      <c r="H325" s="1" t="str">
        <f>IFERROR(INDEX(tblAudits[Audit Type],MATCH(B325,tblAudits[Audit ID],0)),"")</f>
        <v>HVNL Management Plan</v>
      </c>
      <c r="I325" s="1" t="str">
        <f>IF(J325="","",IFERROR(INDEX(tblOrgs[Client Name],MATCH(J325,tblOrgs[Client ABN],0)),""))</f>
        <v>ENCO Precast Pty Ltd</v>
      </c>
      <c r="J325" s="1">
        <f>IFERROR(INDEX(tblAudits[Client ABN],MATCH(B325,tblAudits[Audit ID],0)),"")</f>
        <v>56072772037</v>
      </c>
      <c r="K325" s="1"/>
    </row>
    <row r="326" spans="1:11" x14ac:dyDescent="0.25">
      <c r="A326" s="1" t="s">
        <v>1178</v>
      </c>
      <c r="B326" s="1" t="s">
        <v>342</v>
      </c>
      <c r="C326" s="1" t="s">
        <v>1179</v>
      </c>
      <c r="D326" s="1">
        <v>1</v>
      </c>
      <c r="E326" s="1" t="s">
        <v>525</v>
      </c>
      <c r="F326" s="4">
        <v>45332</v>
      </c>
      <c r="G326" s="4">
        <f>IF(F326="","",EDATE(F326,12)-1)</f>
        <v>45697</v>
      </c>
      <c r="H326" s="1" t="str">
        <f>IFERROR(INDEX(tblAudits[Audit Type],MATCH(B326,tblAudits[Audit ID],0)),"")</f>
        <v>HVNL Management Plan</v>
      </c>
      <c r="I326" s="1" t="str">
        <f>IF(J326="","",IFERROR(INDEX(tblOrgs[Client Name],MATCH(J326,tblOrgs[Client ABN],0)),""))</f>
        <v>Chess Engineering Pty Ltd</v>
      </c>
      <c r="J326" s="1">
        <f>IFERROR(INDEX(tblAudits[Client ABN],MATCH(B326,tblAudits[Audit ID],0)),"")</f>
        <v>37000615056</v>
      </c>
      <c r="K326" s="1"/>
    </row>
    <row r="327" spans="1:11" x14ac:dyDescent="0.25">
      <c r="A327" s="1" t="s">
        <v>1168</v>
      </c>
      <c r="B327" s="1" t="s">
        <v>337</v>
      </c>
      <c r="C327" s="1" t="s">
        <v>1169</v>
      </c>
      <c r="D327" s="1">
        <v>1</v>
      </c>
      <c r="E327" s="1" t="s">
        <v>525</v>
      </c>
      <c r="F327" s="4">
        <v>45376</v>
      </c>
      <c r="G327" s="4">
        <f>IF(F327="","",EDATE(F327,12)-1)</f>
        <v>45740</v>
      </c>
      <c r="H327" s="1" t="str">
        <f>IFERROR(INDEX(tblAudits[Audit Type],MATCH(B327,tblAudits[Audit ID],0)),"")</f>
        <v>HVNL Management Plan</v>
      </c>
      <c r="I327" s="1" t="str">
        <f>IF(J327="","",IFERROR(INDEX(tblOrgs[Client Name],MATCH(J327,tblOrgs[Client ABN],0)),""))</f>
        <v>Avopiling Services (NSW) Pty Ltd</v>
      </c>
      <c r="J327" s="1">
        <f>IFERROR(INDEX(tblAudits[Client ABN],MATCH(B327,tblAudits[Audit ID],0)),"")</f>
        <v>11165683349</v>
      </c>
      <c r="K327" s="1"/>
    </row>
    <row r="328" spans="1:11" x14ac:dyDescent="0.25">
      <c r="A328" s="1" t="s">
        <v>1058</v>
      </c>
      <c r="B328" s="1" t="s">
        <v>281</v>
      </c>
      <c r="C328" s="1" t="s">
        <v>1059</v>
      </c>
      <c r="D328" s="1">
        <v>1</v>
      </c>
      <c r="E328" s="1" t="s">
        <v>525</v>
      </c>
      <c r="F328" s="4">
        <v>45094</v>
      </c>
      <c r="G328" s="4">
        <f>IF(F328="","",EDATE(F328,12)-1)</f>
        <v>45459</v>
      </c>
      <c r="H328" s="1" t="str">
        <f>IFERROR(INDEX(tblAudits[Audit Type],MATCH(B328,tblAudits[Audit ID],0)),"")</f>
        <v>HVNL Management Plan</v>
      </c>
      <c r="I328" s="1" t="str">
        <f>IF(J328="","",IFERROR(INDEX(tblOrgs[Client Name],MATCH(J328,tblOrgs[Client ABN],0)),""))</f>
        <v>Nasi Pty Ltd</v>
      </c>
      <c r="J328" s="1">
        <f>IFERROR(INDEX(tblAudits[Client ABN],MATCH(B328,tblAudits[Audit ID],0)),"")</f>
        <v>41609980726</v>
      </c>
      <c r="K328" s="1"/>
    </row>
    <row r="329" spans="1:11" x14ac:dyDescent="0.25">
      <c r="A329" s="1" t="s">
        <v>1306</v>
      </c>
      <c r="B329" s="1" t="s">
        <v>406</v>
      </c>
      <c r="C329" s="1" t="s">
        <v>1307</v>
      </c>
      <c r="D329" s="1">
        <v>1</v>
      </c>
      <c r="E329" s="1" t="s">
        <v>525</v>
      </c>
      <c r="F329" s="4">
        <v>45396</v>
      </c>
      <c r="G329" s="4">
        <f>IF(F329="","",EDATE(F329,12)-1)</f>
        <v>45760</v>
      </c>
      <c r="H329" s="1" t="str">
        <f>IFERROR(INDEX(tblAudits[Audit Type],MATCH(B329,tblAudits[Audit ID],0)),"")</f>
        <v>HVNL Management Plan</v>
      </c>
      <c r="I329" s="1" t="str">
        <f>IF(J329="","",IFERROR(INDEX(tblOrgs[Client Name],MATCH(J329,tblOrgs[Client ABN],0)),""))</f>
        <v>Slaney Excavations Pty Ltd</v>
      </c>
      <c r="J329" s="1">
        <f>IFERROR(INDEX(tblAudits[Client ABN],MATCH(B329,tblAudits[Audit ID],0)),"")</f>
        <v>76169837316</v>
      </c>
      <c r="K329" s="1"/>
    </row>
    <row r="330" spans="1:11" x14ac:dyDescent="0.25">
      <c r="A330" s="1" t="s">
        <v>1348</v>
      </c>
      <c r="B330" s="1" t="s">
        <v>427</v>
      </c>
      <c r="C330" s="1" t="s">
        <v>1349</v>
      </c>
      <c r="D330" s="1">
        <v>1</v>
      </c>
      <c r="E330" s="1" t="s">
        <v>525</v>
      </c>
      <c r="F330" s="4">
        <v>45404</v>
      </c>
      <c r="G330" s="4">
        <f>IF(F330="","",EDATE(F330,12)-1)</f>
        <v>45768</v>
      </c>
      <c r="H330" s="1" t="str">
        <f>IFERROR(INDEX(tblAudits[Audit Type],MATCH(B330,tblAudits[Audit ID],0)),"")</f>
        <v>WHS Management System</v>
      </c>
      <c r="I330" s="1" t="str">
        <f>IF(J330="","",IFERROR(INDEX(tblOrgs[Client Name],MATCH(J330,tblOrgs[Client ABN],0)),""))</f>
        <v>Slaney Excavations Pty Ltd</v>
      </c>
      <c r="J330" s="1">
        <f>IFERROR(INDEX(tblAudits[Client ABN],MATCH(B330,tblAudits[Audit ID],0)),"")</f>
        <v>76169837316</v>
      </c>
      <c r="K330" s="1"/>
    </row>
    <row r="331" spans="1:11" x14ac:dyDescent="0.25">
      <c r="A331" s="1" t="s">
        <v>1250</v>
      </c>
      <c r="B331" s="1" t="s">
        <v>378</v>
      </c>
      <c r="C331" s="1" t="s">
        <v>1251</v>
      </c>
      <c r="D331" s="1">
        <v>1</v>
      </c>
      <c r="E331" s="1" t="s">
        <v>525</v>
      </c>
      <c r="F331" s="4">
        <v>45392</v>
      </c>
      <c r="G331" s="4">
        <f>IF(F331="","",EDATE(F331,12)-1)</f>
        <v>45756</v>
      </c>
      <c r="H331" s="1" t="str">
        <f>IFERROR(INDEX(tblAudits[Audit Type],MATCH(B331,tblAudits[Audit ID],0)),"")</f>
        <v>HVNL Management Plan</v>
      </c>
      <c r="I331" s="1" t="str">
        <f>IF(J331="","",IFERROR(INDEX(tblOrgs[Client Name],MATCH(J331,tblOrgs[Client ABN],0)),""))</f>
        <v>Lewiston Haulage Pty Ltd</v>
      </c>
      <c r="J331" s="1">
        <f>IFERROR(INDEX(tblAudits[Client ABN],MATCH(B331,tblAudits[Audit ID],0)),"")</f>
        <v>33631206178</v>
      </c>
      <c r="K331" s="1"/>
    </row>
    <row r="332" spans="1:11" x14ac:dyDescent="0.25">
      <c r="A332" s="1" t="s">
        <v>1274</v>
      </c>
      <c r="B332" s="1" t="s">
        <v>390</v>
      </c>
      <c r="C332" s="1" t="s">
        <v>1275</v>
      </c>
      <c r="D332" s="1">
        <v>1</v>
      </c>
      <c r="E332" s="1" t="s">
        <v>525</v>
      </c>
      <c r="F332" s="4">
        <v>45403</v>
      </c>
      <c r="G332" s="4">
        <f>IF(F332="","",EDATE(F332,12)-1)</f>
        <v>45767</v>
      </c>
      <c r="H332" s="1" t="str">
        <f>IFERROR(INDEX(tblAudits[Audit Type],MATCH(B332,tblAudits[Audit ID],0)),"")</f>
        <v>HVNL Management Plan</v>
      </c>
      <c r="I332" s="1" t="str">
        <f>IF(J332="","",IFERROR(INDEX(tblOrgs[Client Name],MATCH(J332,tblOrgs[Client ABN],0)),""))</f>
        <v>Outrite Hire &amp; Sales Pty Ltd</v>
      </c>
      <c r="J332" s="1">
        <f>IFERROR(INDEX(tblAudits[Client ABN],MATCH(B332,tblAudits[Audit ID],0)),"")</f>
        <v>59632942584</v>
      </c>
      <c r="K332" s="1"/>
    </row>
    <row r="333" spans="1:11" x14ac:dyDescent="0.25">
      <c r="A333" s="1" t="s">
        <v>1238</v>
      </c>
      <c r="B333" s="1" t="s">
        <v>372</v>
      </c>
      <c r="C333" s="1" t="s">
        <v>1239</v>
      </c>
      <c r="D333" s="1">
        <v>1</v>
      </c>
      <c r="E333" s="1" t="s">
        <v>525</v>
      </c>
      <c r="F333" s="4">
        <v>45399</v>
      </c>
      <c r="G333" s="4">
        <f>IF(F333="","",EDATE(F333,12)-1)</f>
        <v>45763</v>
      </c>
      <c r="H333" s="1" t="str">
        <f>IFERROR(INDEX(tblAudits[Audit Type],MATCH(B333,tblAudits[Audit ID],0)),"")</f>
        <v>HVNL Management Plan</v>
      </c>
      <c r="I333" s="1" t="str">
        <f>IF(J333="","",IFERROR(INDEX(tblOrgs[Client Name],MATCH(J333,tblOrgs[Client ABN],0)),""))</f>
        <v>Hydro Excavac Pty Ltd</v>
      </c>
      <c r="J333" s="1">
        <f>IFERROR(INDEX(tblAudits[Client ABN],MATCH(B333,tblAudits[Audit ID],0)),"")</f>
        <v>36159996095</v>
      </c>
      <c r="K333" s="1"/>
    </row>
    <row r="334" spans="1:11" x14ac:dyDescent="0.25">
      <c r="A334" s="1" t="s">
        <v>1228</v>
      </c>
      <c r="B334" s="1" t="s">
        <v>367</v>
      </c>
      <c r="C334" s="1" t="s">
        <v>1229</v>
      </c>
      <c r="D334" s="1">
        <v>1</v>
      </c>
      <c r="E334" s="1" t="s">
        <v>525</v>
      </c>
      <c r="F334" s="4">
        <v>45401</v>
      </c>
      <c r="G334" s="4">
        <f>IF(F334="","",EDATE(F334,12)-1)</f>
        <v>45765</v>
      </c>
      <c r="H334" s="1" t="str">
        <f>IFERROR(INDEX(tblAudits[Audit Type],MATCH(B334,tblAudits[Audit ID],0)),"")</f>
        <v>HVNL Management Plan</v>
      </c>
      <c r="I334" s="1" t="str">
        <f>IF(J334="","",IFERROR(INDEX(tblOrgs[Client Name],MATCH(J334,tblOrgs[Client ABN],0)),""))</f>
        <v>Hi-Haul Transport Pty Ltd</v>
      </c>
      <c r="J334" s="1">
        <f>IFERROR(INDEX(tblAudits[Client ABN],MATCH(B334,tblAudits[Audit ID],0)),"")</f>
        <v>25005099632</v>
      </c>
      <c r="K334" s="1"/>
    </row>
    <row r="335" spans="1:11" x14ac:dyDescent="0.25">
      <c r="A335" s="1" t="s">
        <v>1322</v>
      </c>
      <c r="B335" s="1" t="s">
        <v>414</v>
      </c>
      <c r="C335" s="1" t="s">
        <v>1323</v>
      </c>
      <c r="D335" s="1">
        <v>1</v>
      </c>
      <c r="E335" s="1" t="s">
        <v>525</v>
      </c>
      <c r="F335" s="4">
        <v>45394</v>
      </c>
      <c r="G335" s="4">
        <f>IF(F335="","",EDATE(F335,12)-1)</f>
        <v>45758</v>
      </c>
      <c r="H335" s="1" t="str">
        <f>IFERROR(INDEX(tblAudits[Audit Type],MATCH(B335,tblAudits[Audit ID],0)),"")</f>
        <v>HVNL Management Plan</v>
      </c>
      <c r="I335" s="1" t="str">
        <f>IF(J335="","",IFERROR(INDEX(tblOrgs[Client Name],MATCH(J335,tblOrgs[Client ABN],0)),""))</f>
        <v>T &amp; M Southern Cranes Pty Ltd</v>
      </c>
      <c r="J335" s="1">
        <f>IFERROR(INDEX(tblAudits[Client ABN],MATCH(B335,tblAudits[Audit ID],0)),"")</f>
        <v>99006697338</v>
      </c>
      <c r="K335" s="1"/>
    </row>
    <row r="336" spans="1:11" x14ac:dyDescent="0.25">
      <c r="A336" s="1" t="s">
        <v>1194</v>
      </c>
      <c r="B336" s="1" t="s">
        <v>350</v>
      </c>
      <c r="C336" s="1" t="s">
        <v>1195</v>
      </c>
      <c r="D336" s="1">
        <v>1</v>
      </c>
      <c r="E336" s="1" t="s">
        <v>525</v>
      </c>
      <c r="F336" s="4">
        <v>45405</v>
      </c>
      <c r="G336" s="4">
        <f>IF(F336="","",EDATE(F336,12)-1)</f>
        <v>45769</v>
      </c>
      <c r="H336" s="1" t="str">
        <f>IFERROR(INDEX(tblAudits[Audit Type],MATCH(B336,tblAudits[Audit ID],0)),"")</f>
        <v>HVNL Management Plan</v>
      </c>
      <c r="I336" s="1" t="str">
        <f>IF(J336="","",IFERROR(INDEX(tblOrgs[Client Name],MATCH(J336,tblOrgs[Client ABN],0)),""))</f>
        <v>Cubis Systems Australia Pty Ltd</v>
      </c>
      <c r="J336" s="1">
        <f>IFERROR(INDEX(tblAudits[Client ABN],MATCH(B336,tblAudits[Audit ID],0)),"")</f>
        <v>88108718350</v>
      </c>
      <c r="K336" s="1"/>
    </row>
    <row r="337" spans="1:11" x14ac:dyDescent="0.25">
      <c r="A337" s="1" t="s">
        <v>1342</v>
      </c>
      <c r="B337" s="1" t="s">
        <v>424</v>
      </c>
      <c r="C337" s="1" t="s">
        <v>1343</v>
      </c>
      <c r="D337" s="1">
        <v>1</v>
      </c>
      <c r="E337" s="1" t="s">
        <v>525</v>
      </c>
      <c r="F337" s="4">
        <v>45422</v>
      </c>
      <c r="G337" s="4">
        <f>IF(F337="","",EDATE(F337,12)-1)</f>
        <v>45786</v>
      </c>
      <c r="H337" s="1" t="str">
        <f>IFERROR(INDEX(tblAudits[Audit Type],MATCH(B337,tblAudits[Audit ID],0)),"")</f>
        <v>HVNL Management Plan</v>
      </c>
      <c r="I337" s="1" t="str">
        <f>IF(J337="","",IFERROR(INDEX(tblOrgs[Client Name],MATCH(J337,tblOrgs[Client ABN],0)),""))</f>
        <v>Westkon Precast Pty Ltd</v>
      </c>
      <c r="J337" s="1">
        <f>IFERROR(INDEX(tblAudits[Client ABN],MATCH(B337,tblAudits[Audit ID],0)),"")</f>
        <v>92107423156</v>
      </c>
      <c r="K337" s="1"/>
    </row>
    <row r="338" spans="1:11" x14ac:dyDescent="0.25">
      <c r="A338" s="1" t="s">
        <v>1292</v>
      </c>
      <c r="B338" s="1" t="s">
        <v>399</v>
      </c>
      <c r="C338" s="1" t="s">
        <v>1293</v>
      </c>
      <c r="D338" s="1">
        <v>1</v>
      </c>
      <c r="E338" s="1" t="s">
        <v>525</v>
      </c>
      <c r="F338" s="4">
        <v>45418</v>
      </c>
      <c r="G338" s="4">
        <f>IF(F338="","",EDATE(F338,12)-1)</f>
        <v>45782</v>
      </c>
      <c r="H338" s="1" t="str">
        <f>IFERROR(INDEX(tblAudits[Audit Type],MATCH(B338,tblAudits[Audit ID],0)),"")</f>
        <v>HVNL Management Plan</v>
      </c>
      <c r="I338" s="1" t="str">
        <f>IF(J338="","",IFERROR(INDEX(tblOrgs[Client Name],MATCH(J338,tblOrgs[Client ABN],0)),""))</f>
        <v>Rapidcrete Pty Ltd</v>
      </c>
      <c r="J338" s="1">
        <f>IFERROR(INDEX(tblAudits[Client ABN],MATCH(B338,tblAudits[Audit ID],0)),"")</f>
        <v>53104620322</v>
      </c>
      <c r="K338" s="1"/>
    </row>
    <row r="339" spans="1:11" x14ac:dyDescent="0.25">
      <c r="A339" s="1" t="s">
        <v>1514</v>
      </c>
      <c r="B339" s="1" t="s">
        <v>510</v>
      </c>
      <c r="C339" s="1" t="s">
        <v>1515</v>
      </c>
      <c r="D339" s="1">
        <v>1</v>
      </c>
      <c r="E339" s="1" t="s">
        <v>525</v>
      </c>
      <c r="F339" s="4">
        <v>45790</v>
      </c>
      <c r="G339" s="4">
        <f>IF(F339="","",EDATE(F339,12)-1)</f>
        <v>46154</v>
      </c>
      <c r="H339" s="1" t="str">
        <f>IFERROR(INDEX(tblAudits[Audit Type],MATCH(B339,tblAudits[Audit ID],0)),"")</f>
        <v>HVNL Management Plan</v>
      </c>
      <c r="I339" s="1" t="str">
        <f>IF(J339="","",IFERROR(INDEX(tblOrgs[Client Name],MATCH(J339,tblOrgs[Client ABN],0)),""))</f>
        <v>Tutt Bryant Group Limited</v>
      </c>
      <c r="J339" s="1">
        <f>IFERROR(INDEX(tblAudits[Client ABN],MATCH(B339,tblAudits[Audit ID],0)),"")</f>
        <v>89009242675</v>
      </c>
      <c r="K339" s="1"/>
    </row>
    <row r="340" spans="1:11" x14ac:dyDescent="0.25">
      <c r="A340" s="1" t="s">
        <v>1176</v>
      </c>
      <c r="B340" s="1" t="s">
        <v>341</v>
      </c>
      <c r="C340" s="1" t="s">
        <v>1177</v>
      </c>
      <c r="D340" s="1">
        <v>1</v>
      </c>
      <c r="E340" s="1" t="s">
        <v>525</v>
      </c>
      <c r="F340" s="4">
        <v>45425</v>
      </c>
      <c r="G340" s="4">
        <f>IF(F340="","",EDATE(F340,12)-1)</f>
        <v>45789</v>
      </c>
      <c r="H340" s="1" t="str">
        <f>IFERROR(INDEX(tblAudits[Audit Type],MATCH(B340,tblAudits[Audit ID],0)),"")</f>
        <v>HVNL Management Plan</v>
      </c>
      <c r="I340" s="1" t="str">
        <f>IF(J340="","",IFERROR(INDEX(tblOrgs[Client Name],MATCH(J340,tblOrgs[Client ABN],0)),""))</f>
        <v>Bryco Civil Construction Pty Ltd</v>
      </c>
      <c r="J340" s="1">
        <f>IFERROR(INDEX(tblAudits[Client ABN],MATCH(B340,tblAudits[Audit ID],0)),"")</f>
        <v>67642143324</v>
      </c>
      <c r="K340" s="1"/>
    </row>
    <row r="341" spans="1:11" x14ac:dyDescent="0.25">
      <c r="A341" s="1" t="s">
        <v>1272</v>
      </c>
      <c r="B341" s="1" t="s">
        <v>389</v>
      </c>
      <c r="C341" s="1" t="s">
        <v>1273</v>
      </c>
      <c r="D341" s="1">
        <v>1</v>
      </c>
      <c r="E341" s="1" t="s">
        <v>525</v>
      </c>
      <c r="F341" s="4">
        <v>45423</v>
      </c>
      <c r="G341" s="4">
        <f>IF(F341="","",EDATE(F341,12)-1)</f>
        <v>45787</v>
      </c>
      <c r="H341" s="1" t="str">
        <f>IFERROR(INDEX(tblAudits[Audit Type],MATCH(B341,tblAudits[Audit ID],0)),"")</f>
        <v>HVNL Management Plan</v>
      </c>
      <c r="I341" s="1" t="str">
        <f>IF(J341="","",IFERROR(INDEX(tblOrgs[Client Name],MATCH(J341,tblOrgs[Client ABN],0)),""))</f>
        <v>Newnham Trucking Pty Ltd</v>
      </c>
      <c r="J341" s="1">
        <f>IFERROR(INDEX(tblAudits[Client ABN],MATCH(B341,tblAudits[Audit ID],0)),"")</f>
        <v>25100435363</v>
      </c>
      <c r="K341" s="1"/>
    </row>
    <row r="342" spans="1:11" x14ac:dyDescent="0.25">
      <c r="A342" s="1" t="s">
        <v>1236</v>
      </c>
      <c r="B342" s="1" t="s">
        <v>371</v>
      </c>
      <c r="C342" s="1" t="s">
        <v>1237</v>
      </c>
      <c r="D342" s="1">
        <v>1</v>
      </c>
      <c r="E342" s="1" t="s">
        <v>525</v>
      </c>
      <c r="F342" s="4">
        <v>45450</v>
      </c>
      <c r="G342" s="4">
        <f>IF(F342="","",EDATE(F342,12)-1)</f>
        <v>45814</v>
      </c>
      <c r="H342" s="1" t="str">
        <f>IFERROR(INDEX(tblAudits[Audit Type],MATCH(B342,tblAudits[Audit ID],0)),"")</f>
        <v>HVNL Management Plan</v>
      </c>
      <c r="I342" s="1" t="str">
        <f>IF(J342="","",IFERROR(INDEX(tblOrgs[Client Name],MATCH(J342,tblOrgs[Client ABN],0)),""))</f>
        <v>Holcim (Australia) Pty Ltd</v>
      </c>
      <c r="J342" s="1">
        <f>IFERROR(INDEX(tblAudits[Client ABN],MATCH(B342,tblAudits[Audit ID],0)),"")</f>
        <v>87099732297</v>
      </c>
      <c r="K342" s="1"/>
    </row>
    <row r="343" spans="1:11" x14ac:dyDescent="0.25">
      <c r="A343" s="1" t="s">
        <v>1270</v>
      </c>
      <c r="B343" s="1" t="s">
        <v>388</v>
      </c>
      <c r="C343" s="1" t="s">
        <v>1271</v>
      </c>
      <c r="D343" s="1">
        <v>1</v>
      </c>
      <c r="E343" s="1" t="s">
        <v>525</v>
      </c>
      <c r="F343" s="4">
        <v>45460</v>
      </c>
      <c r="G343" s="4">
        <f>IF(F343="","",EDATE(F343,12)-1)</f>
        <v>45824</v>
      </c>
      <c r="H343" s="1" t="str">
        <f>IFERROR(INDEX(tblAudits[Audit Type],MATCH(B343,tblAudits[Audit ID],0)),"")</f>
        <v>HVNL Management Plan</v>
      </c>
      <c r="I343" s="1" t="str">
        <f>IF(J343="","",IFERROR(INDEX(tblOrgs[Client Name],MATCH(J343,tblOrgs[Client ABN],0)),""))</f>
        <v>Nasi Pty Ltd</v>
      </c>
      <c r="J343" s="1">
        <f>IFERROR(INDEX(tblAudits[Client ABN],MATCH(B343,tblAudits[Audit ID],0)),"")</f>
        <v>41609980726</v>
      </c>
      <c r="K343" s="1"/>
    </row>
    <row r="344" spans="1:11" x14ac:dyDescent="0.25">
      <c r="A344" s="1" t="s">
        <v>1150</v>
      </c>
      <c r="B344" s="1" t="s">
        <v>328</v>
      </c>
      <c r="C344" s="1" t="s">
        <v>1151</v>
      </c>
      <c r="D344" s="1">
        <v>1</v>
      </c>
      <c r="E344" s="1" t="s">
        <v>525</v>
      </c>
      <c r="F344" s="4">
        <v>45448</v>
      </c>
      <c r="G344" s="4">
        <f>IF(F344="","",EDATE(F344,12)-1)</f>
        <v>45812</v>
      </c>
      <c r="H344" s="1" t="str">
        <f>IFERROR(INDEX(tblAudits[Audit Type],MATCH(B344,tblAudits[Audit ID],0)),"")</f>
        <v>HVNL Management Plan</v>
      </c>
      <c r="I344" s="1" t="str">
        <f>IF(J344="","",IFERROR(INDEX(tblOrgs[Client Name],MATCH(J344,tblOrgs[Client ABN],0)),""))</f>
        <v>Advanced Weather Proofing Pty Ltd</v>
      </c>
      <c r="J344" s="1">
        <f>IFERROR(INDEX(tblAudits[Client ABN],MATCH(B344,tblAudits[Audit ID],0)),"")</f>
        <v>44113903772</v>
      </c>
      <c r="K344" s="1"/>
    </row>
    <row r="345" spans="1:11" x14ac:dyDescent="0.25">
      <c r="A345" s="1" t="s">
        <v>1140</v>
      </c>
      <c r="B345" s="1" t="s">
        <v>323</v>
      </c>
      <c r="C345" s="1" t="s">
        <v>1141</v>
      </c>
      <c r="D345" s="1">
        <v>1</v>
      </c>
      <c r="E345" s="1" t="s">
        <v>525</v>
      </c>
      <c r="F345" s="4">
        <v>45436</v>
      </c>
      <c r="G345" s="4">
        <f>IF(F345="","",EDATE(F345,12)-1)</f>
        <v>45800</v>
      </c>
      <c r="H345" s="1" t="str">
        <f>IFERROR(INDEX(tblAudits[Audit Type],MATCH(B345,tblAudits[Audit ID],0)),"")</f>
        <v>HVNL Management Plan</v>
      </c>
      <c r="I345" s="1" t="str">
        <f>IF(J345="","",IFERROR(INDEX(tblOrgs[Client Name],MATCH(J345,tblOrgs[Client ABN],0)),""))</f>
        <v>A C Whalan &amp; Co Pty Ltd</v>
      </c>
      <c r="J345" s="1">
        <f>IFERROR(INDEX(tblAudits[Client ABN],MATCH(B345,tblAudits[Audit ID],0)),"")</f>
        <v>90003499849</v>
      </c>
      <c r="K345" s="1"/>
    </row>
    <row r="346" spans="1:11" x14ac:dyDescent="0.25">
      <c r="A346" s="1" t="s">
        <v>1192</v>
      </c>
      <c r="B346" s="1" t="s">
        <v>349</v>
      </c>
      <c r="C346" s="1" t="s">
        <v>1193</v>
      </c>
      <c r="D346" s="1">
        <v>1</v>
      </c>
      <c r="E346" s="1" t="s">
        <v>525</v>
      </c>
      <c r="F346" s="4">
        <v>45443</v>
      </c>
      <c r="G346" s="4">
        <f>IF(F346="","",EDATE(F346,12)-1)</f>
        <v>45807</v>
      </c>
      <c r="H346" s="1" t="str">
        <f>IFERROR(INDEX(tblAudits[Audit Type],MATCH(B346,tblAudits[Audit ID],0)),"")</f>
        <v>HVNL Management Plan</v>
      </c>
      <c r="I346" s="1" t="str">
        <f>IF(J346="","",IFERROR(INDEX(tblOrgs[Client Name],MATCH(J346,tblOrgs[Client ABN],0)),""))</f>
        <v>CSA Specialised Services Pty Ltd</v>
      </c>
      <c r="J346" s="1">
        <f>IFERROR(INDEX(tblAudits[Client ABN],MATCH(B346,tblAudits[Audit ID],0)),"")</f>
        <v>11757908807</v>
      </c>
      <c r="K346" s="1"/>
    </row>
    <row r="347" spans="1:11" x14ac:dyDescent="0.25">
      <c r="A347" s="1" t="s">
        <v>1262</v>
      </c>
      <c r="B347" s="1" t="s">
        <v>384</v>
      </c>
      <c r="C347" s="1" t="s">
        <v>1263</v>
      </c>
      <c r="D347" s="1">
        <v>1</v>
      </c>
      <c r="E347" s="1" t="s">
        <v>525</v>
      </c>
      <c r="F347" s="4">
        <v>45395</v>
      </c>
      <c r="G347" s="4">
        <f>IF(F347="","",EDATE(F347,12)-1)</f>
        <v>45759</v>
      </c>
      <c r="H347" s="1" t="str">
        <f>IFERROR(INDEX(tblAudits[Audit Type],MATCH(B347,tblAudits[Audit ID],0)),"")</f>
        <v>HVNL Management Plan</v>
      </c>
      <c r="I347" s="1" t="str">
        <f>IF(J347="","",IFERROR(INDEX(tblOrgs[Client Name],MATCH(J347,tblOrgs[Client ABN],0)),""))</f>
        <v>Matrix Drilling Australia Pty Ltd</v>
      </c>
      <c r="J347" s="1">
        <f>IFERROR(INDEX(tblAudits[Client ABN],MATCH(B347,tblAudits[Audit ID],0)),"")</f>
        <v>65631934971</v>
      </c>
      <c r="K347" s="1"/>
    </row>
    <row r="348" spans="1:11" x14ac:dyDescent="0.25">
      <c r="A348" s="1" t="s">
        <v>1340</v>
      </c>
      <c r="B348" s="1" t="s">
        <v>423</v>
      </c>
      <c r="C348" s="1" t="s">
        <v>1341</v>
      </c>
      <c r="D348" s="1">
        <v>1</v>
      </c>
      <c r="E348" s="1" t="s">
        <v>525</v>
      </c>
      <c r="F348" s="4">
        <v>45422</v>
      </c>
      <c r="G348" s="4">
        <f>IF(F348="","",EDATE(F348,12)-1)</f>
        <v>45786</v>
      </c>
      <c r="H348" s="1" t="str">
        <f>IFERROR(INDEX(tblAudits[Audit Type],MATCH(B348,tblAudits[Audit ID],0)),"")</f>
        <v>HVNL Management Plan</v>
      </c>
      <c r="I348" s="1" t="str">
        <f>IF(J348="","",IFERROR(INDEX(tblOrgs[Client Name],MATCH(J348,tblOrgs[Client ABN],0)),""))</f>
        <v>Westkon Precast Pty Ltd</v>
      </c>
      <c r="J348" s="1">
        <f>IFERROR(INDEX(tblAudits[Client ABN],MATCH(B348,tblAudits[Audit ID],0)),"")</f>
        <v>92107423156</v>
      </c>
      <c r="K348" s="1"/>
    </row>
    <row r="349" spans="1:11" x14ac:dyDescent="0.25">
      <c r="A349" s="1" t="s">
        <v>1156</v>
      </c>
      <c r="B349" s="1" t="s">
        <v>331</v>
      </c>
      <c r="C349" s="1" t="s">
        <v>1157</v>
      </c>
      <c r="D349" s="1">
        <v>1</v>
      </c>
      <c r="E349" s="1" t="s">
        <v>525</v>
      </c>
      <c r="F349" s="4">
        <v>45360</v>
      </c>
      <c r="G349" s="4">
        <f>IF(F349="","",EDATE(F349,12)-1)</f>
        <v>45724</v>
      </c>
      <c r="H349" s="1" t="str">
        <f>IFERROR(INDEX(tblAudits[Audit Type],MATCH(B349,tblAudits[Audit ID],0)),"")</f>
        <v>HVNL Management Plan</v>
      </c>
      <c r="I349" s="1" t="str">
        <f>IF(J349="","",IFERROR(INDEX(tblOrgs[Client Name],MATCH(J349,tblOrgs[Client ABN],0)),""))</f>
        <v>Ardee Civil Pty Ltd</v>
      </c>
      <c r="J349" s="1">
        <f>IFERROR(INDEX(tblAudits[Client ABN],MATCH(B349,tblAudits[Audit ID],0)),"")</f>
        <v>98050056105</v>
      </c>
      <c r="K349" s="1"/>
    </row>
    <row r="350" spans="1:11" x14ac:dyDescent="0.25">
      <c r="A350" s="1" t="s">
        <v>1146</v>
      </c>
      <c r="B350" s="1" t="s">
        <v>326</v>
      </c>
      <c r="C350" s="1" t="s">
        <v>1147</v>
      </c>
      <c r="D350" s="1">
        <v>1</v>
      </c>
      <c r="E350" s="1" t="s">
        <v>525</v>
      </c>
      <c r="F350" s="4">
        <v>45457</v>
      </c>
      <c r="G350" s="4">
        <f>IF(F350="","",EDATE(F350,12)-1)</f>
        <v>45821</v>
      </c>
      <c r="H350" s="1" t="str">
        <f>IFERROR(INDEX(tblAudits[Audit Type],MATCH(B350,tblAudits[Audit ID],0)),"")</f>
        <v>HVNL Management Plan</v>
      </c>
      <c r="I350" s="1" t="str">
        <f>IF(J350="","",IFERROR(INDEX(tblOrgs[Client Name],MATCH(J350,tblOrgs[Client ABN],0)),""))</f>
        <v>Abyss Construction Pty Ltd</v>
      </c>
      <c r="J350" s="1">
        <f>IFERROR(INDEX(tblAudits[Client ABN],MATCH(B350,tblAudits[Audit ID],0)),"")</f>
        <v>50614066223</v>
      </c>
      <c r="K350" s="1"/>
    </row>
    <row r="351" spans="1:11" x14ac:dyDescent="0.25">
      <c r="A351" s="1" t="s">
        <v>1282</v>
      </c>
      <c r="B351" s="1" t="s">
        <v>394</v>
      </c>
      <c r="C351" s="1" t="s">
        <v>1283</v>
      </c>
      <c r="D351" s="1">
        <v>1</v>
      </c>
      <c r="E351" s="1" t="s">
        <v>525</v>
      </c>
      <c r="F351" s="4">
        <v>45490</v>
      </c>
      <c r="G351" s="4">
        <f>IF(F351="","",EDATE(F351,12)-1)</f>
        <v>45854</v>
      </c>
      <c r="H351" s="1" t="str">
        <f>IFERROR(INDEX(tblAudits[Audit Type],MATCH(B351,tblAudits[Audit ID],0)),"")</f>
        <v>HVNL Management Plan</v>
      </c>
      <c r="I351" s="1" t="str">
        <f>IF(J351="","",IFERROR(INDEX(tblOrgs[Client Name],MATCH(J351,tblOrgs[Client ABN],0)),""))</f>
        <v>PWG Infrastructure Pty Ltd</v>
      </c>
      <c r="J351" s="1">
        <f>IFERROR(INDEX(tblAudits[Client ABN],MATCH(B351,tblAudits[Audit ID],0)),"")</f>
        <v>45628502410</v>
      </c>
      <c r="K351" s="1"/>
    </row>
    <row r="352" spans="1:11" x14ac:dyDescent="0.25">
      <c r="A352" s="1" t="s">
        <v>1162</v>
      </c>
      <c r="B352" s="1" t="s">
        <v>334</v>
      </c>
      <c r="C352" s="1" t="s">
        <v>1163</v>
      </c>
      <c r="D352" s="1">
        <v>1</v>
      </c>
      <c r="E352" s="1" t="s">
        <v>525</v>
      </c>
      <c r="F352" s="4">
        <v>45495</v>
      </c>
      <c r="G352" s="4">
        <f>IF(F352="","",EDATE(F352,12)-1)</f>
        <v>45859</v>
      </c>
      <c r="H352" s="1" t="str">
        <f>IFERROR(INDEX(tblAudits[Audit Type],MATCH(B352,tblAudits[Audit ID],0)),"")</f>
        <v>HVNL Management Plan</v>
      </c>
      <c r="I352" s="1" t="str">
        <f>IF(J352="","",IFERROR(INDEX(tblOrgs[Client Name],MATCH(J352,tblOrgs[Client ABN],0)),""))</f>
        <v>Ash (Vic) Pty Ltd</v>
      </c>
      <c r="J352" s="1">
        <f>IFERROR(INDEX(tblAudits[Client ABN],MATCH(B352,tblAudits[Audit ID],0)),"")</f>
        <v>29115372613</v>
      </c>
      <c r="K352" s="1"/>
    </row>
    <row r="353" spans="1:11" x14ac:dyDescent="0.25">
      <c r="A353" s="1" t="s">
        <v>1158</v>
      </c>
      <c r="B353" s="1" t="s">
        <v>332</v>
      </c>
      <c r="C353" s="1" t="s">
        <v>1159</v>
      </c>
      <c r="D353" s="1">
        <v>1</v>
      </c>
      <c r="E353" s="1" t="s">
        <v>525</v>
      </c>
      <c r="F353" s="4">
        <v>45497</v>
      </c>
      <c r="G353" s="4">
        <f>IF(F353="","",EDATE(F353,12)-1)</f>
        <v>45861</v>
      </c>
      <c r="H353" s="1" t="str">
        <f>IFERROR(INDEX(tblAudits[Audit Type],MATCH(B353,tblAudits[Audit ID],0)),"")</f>
        <v>HVNL Management Plan</v>
      </c>
      <c r="I353" s="1" t="str">
        <f>IF(J353="","",IFERROR(INDEX(tblOrgs[Client Name],MATCH(J353,tblOrgs[Client ABN],0)),""))</f>
        <v>As you like it Landscaping Pty Ltd</v>
      </c>
      <c r="J353" s="1">
        <f>IFERROR(INDEX(tblAudits[Client ABN],MATCH(B353,tblAudits[Audit ID],0)),"")</f>
        <v>51064081956</v>
      </c>
      <c r="K353" s="1"/>
    </row>
    <row r="354" spans="1:11" x14ac:dyDescent="0.25">
      <c r="A354" s="1" t="s">
        <v>1280</v>
      </c>
      <c r="B354" s="1" t="s">
        <v>393</v>
      </c>
      <c r="C354" s="1" t="s">
        <v>1281</v>
      </c>
      <c r="D354" s="1">
        <v>1</v>
      </c>
      <c r="E354" s="1" t="s">
        <v>525</v>
      </c>
      <c r="F354" s="4">
        <v>45478</v>
      </c>
      <c r="G354" s="4">
        <f>IF(F354="","",EDATE(F354,12)-1)</f>
        <v>45842</v>
      </c>
      <c r="H354" s="1" t="str">
        <f>IFERROR(INDEX(tblAudits[Audit Type],MATCH(B354,tblAudits[Audit ID],0)),"")</f>
        <v>HVNL Management Plan</v>
      </c>
      <c r="I354" s="1" t="str">
        <f>IF(J354="","",IFERROR(INDEX(tblOrgs[Client Name],MATCH(J354,tblOrgs[Client ABN],0)),""))</f>
        <v>Pressure Works Pty Ltd</v>
      </c>
      <c r="J354" s="1">
        <f>IFERROR(INDEX(tblAudits[Client ABN],MATCH(B354,tblAudits[Audit ID],0)),"")</f>
        <v>94365883835</v>
      </c>
      <c r="K354" s="1"/>
    </row>
    <row r="355" spans="1:11" x14ac:dyDescent="0.25">
      <c r="A355" s="1" t="s">
        <v>1252</v>
      </c>
      <c r="B355" s="1" t="s">
        <v>379</v>
      </c>
      <c r="C355" s="1" t="s">
        <v>1253</v>
      </c>
      <c r="D355" s="1">
        <v>1</v>
      </c>
      <c r="E355" s="1" t="s">
        <v>525</v>
      </c>
      <c r="F355" s="4">
        <v>45483</v>
      </c>
      <c r="G355" s="4">
        <f>IF(F355="","",EDATE(F355,12)-1)</f>
        <v>45847</v>
      </c>
      <c r="H355" s="1" t="str">
        <f>IFERROR(INDEX(tblAudits[Audit Type],MATCH(B355,tblAudits[Audit ID],0)),"")</f>
        <v>HVNL Management Plan</v>
      </c>
      <c r="I355" s="1" t="str">
        <f>IF(J355="","",IFERROR(INDEX(tblOrgs[Client Name],MATCH(J355,tblOrgs[Client ABN],0)),""))</f>
        <v>Maas Group Holdings</v>
      </c>
      <c r="J355" s="1">
        <f>IFERROR(INDEX(tblAudits[Client ABN],MATCH(B355,tblAudits[Audit ID],0)),"")</f>
        <v>84632994542</v>
      </c>
      <c r="K355" s="1"/>
    </row>
    <row r="356" spans="1:11" x14ac:dyDescent="0.25">
      <c r="A356" s="1" t="s">
        <v>1286</v>
      </c>
      <c r="B356" s="1" t="s">
        <v>396</v>
      </c>
      <c r="C356" s="1" t="s">
        <v>1287</v>
      </c>
      <c r="D356" s="1">
        <v>1</v>
      </c>
      <c r="E356" s="1" t="s">
        <v>525</v>
      </c>
      <c r="F356" s="4">
        <v>45497</v>
      </c>
      <c r="G356" s="4">
        <f>IF(F356="","",EDATE(F356,12)-1)</f>
        <v>45861</v>
      </c>
      <c r="H356" s="1" t="str">
        <f>IFERROR(INDEX(tblAudits[Audit Type],MATCH(B356,tblAudits[Audit ID],0)),"")</f>
        <v>HVNL Management Plan</v>
      </c>
      <c r="I356" s="1" t="str">
        <f>IF(J356="","",IFERROR(INDEX(tblOrgs[Client Name],MATCH(J356,tblOrgs[Client ABN],0)),""))</f>
        <v>RA Smith Contracting Pty Ltd</v>
      </c>
      <c r="J356" s="1">
        <f>IFERROR(INDEX(tblAudits[Client ABN],MATCH(B356,tblAudits[Audit ID],0)),"")</f>
        <v>65006694702</v>
      </c>
      <c r="K356" s="1"/>
    </row>
    <row r="357" spans="1:11" x14ac:dyDescent="0.25">
      <c r="A357" s="1" t="s">
        <v>1154</v>
      </c>
      <c r="B357" s="1" t="s">
        <v>330</v>
      </c>
      <c r="C357" s="1" t="s">
        <v>1155</v>
      </c>
      <c r="D357" s="1">
        <v>1</v>
      </c>
      <c r="E357" s="1" t="s">
        <v>525</v>
      </c>
      <c r="F357" s="4">
        <v>45497</v>
      </c>
      <c r="G357" s="4">
        <f>IF(F357="","",EDATE(F357,12)-1)</f>
        <v>45861</v>
      </c>
      <c r="H357" s="1" t="str">
        <f>IFERROR(INDEX(tblAudits[Audit Type],MATCH(B357,tblAudits[Audit ID],0)),"")</f>
        <v>HVNL Management Plan</v>
      </c>
      <c r="I357" s="1" t="str">
        <f>IF(J357="","",IFERROR(INDEX(tblOrgs[Client Name],MATCH(J357,tblOrgs[Client ABN],0)),""))</f>
        <v>Arcadia Global Pty Ltd</v>
      </c>
      <c r="J357" s="1">
        <f>IFERROR(INDEX(tblAudits[Client ABN],MATCH(B357,tblAudits[Audit ID],0)),"")</f>
        <v>62008668291</v>
      </c>
      <c r="K357" s="1"/>
    </row>
    <row r="358" spans="1:11" x14ac:dyDescent="0.25">
      <c r="A358" s="1" t="s">
        <v>1222</v>
      </c>
      <c r="B358" s="1" t="s">
        <v>364</v>
      </c>
      <c r="C358" s="1" t="s">
        <v>1223</v>
      </c>
      <c r="D358" s="1">
        <v>1</v>
      </c>
      <c r="E358" s="1" t="s">
        <v>525</v>
      </c>
      <c r="F358" s="4">
        <v>45487</v>
      </c>
      <c r="G358" s="4">
        <f>IF(F358="","",EDATE(F358,12)-1)</f>
        <v>45851</v>
      </c>
      <c r="H358" s="1" t="str">
        <f>IFERROR(INDEX(tblAudits[Audit Type],MATCH(B358,tblAudits[Audit ID],0)),"")</f>
        <v>HVNL Management Plan</v>
      </c>
      <c r="I358" s="1" t="str">
        <f>IF(J358="","",IFERROR(INDEX(tblOrgs[Client Name],MATCH(J358,tblOrgs[Client ABN],0)),""))</f>
        <v>GVP Fabricators Pty Ltd</v>
      </c>
      <c r="J358" s="1">
        <f>IFERROR(INDEX(tblAudits[Client ABN],MATCH(B358,tblAudits[Audit ID],0)),"")</f>
        <v>59082132394</v>
      </c>
      <c r="K358" s="1"/>
    </row>
    <row r="359" spans="1:11" x14ac:dyDescent="0.25">
      <c r="A359" s="1" t="s">
        <v>1174</v>
      </c>
      <c r="B359" s="1" t="s">
        <v>340</v>
      </c>
      <c r="C359" s="1" t="s">
        <v>1175</v>
      </c>
      <c r="D359" s="1">
        <v>1</v>
      </c>
      <c r="E359" s="1" t="s">
        <v>525</v>
      </c>
      <c r="F359" s="4">
        <v>45486</v>
      </c>
      <c r="G359" s="4">
        <f>IF(F359="","",EDATE(F359,12)-1)</f>
        <v>45850</v>
      </c>
      <c r="H359" s="1" t="str">
        <f>IFERROR(INDEX(tblAudits[Audit Type],MATCH(B359,tblAudits[Audit ID],0)),"")</f>
        <v>HVNL Management Plan</v>
      </c>
      <c r="I359" s="1" t="str">
        <f>IF(J359="","",IFERROR(INDEX(tblOrgs[Client Name],MATCH(J359,tblOrgs[Client ABN],0)),""))</f>
        <v>Brent Young Cranes Pty Ltd</v>
      </c>
      <c r="J359" s="1">
        <f>IFERROR(INDEX(tblAudits[Client ABN],MATCH(B359,tblAudits[Audit ID],0)),"")</f>
        <v>74795954655</v>
      </c>
      <c r="K359" s="1"/>
    </row>
    <row r="360" spans="1:11" x14ac:dyDescent="0.25">
      <c r="A360" s="1" t="s">
        <v>1180</v>
      </c>
      <c r="B360" s="1" t="s">
        <v>343</v>
      </c>
      <c r="C360" s="1" t="s">
        <v>1181</v>
      </c>
      <c r="D360" s="1">
        <v>1</v>
      </c>
      <c r="E360" s="1" t="s">
        <v>525</v>
      </c>
      <c r="F360" s="4">
        <v>45402</v>
      </c>
      <c r="G360" s="4">
        <f>IF(F360="","",EDATE(F360,12)-1)</f>
        <v>45766</v>
      </c>
      <c r="H360" s="1" t="str">
        <f>IFERROR(INDEX(tblAudits[Audit Type],MATCH(B360,tblAudits[Audit ID],0)),"")</f>
        <v>HVNL Management Plan</v>
      </c>
      <c r="I360" s="1" t="str">
        <f>IF(J360="","",IFERROR(INDEX(tblOrgs[Client Name],MATCH(J360,tblOrgs[Client ABN],0)),""))</f>
        <v>Civx Pty Ltd</v>
      </c>
      <c r="J360" s="1">
        <f>IFERROR(INDEX(tblAudits[Client ABN],MATCH(B360,tblAudits[Audit ID],0)),"")</f>
        <v>53603953019</v>
      </c>
      <c r="K360" s="1"/>
    </row>
    <row r="361" spans="1:11" x14ac:dyDescent="0.25">
      <c r="A361" s="1" t="s">
        <v>1314</v>
      </c>
      <c r="B361" s="1" t="s">
        <v>410</v>
      </c>
      <c r="C361" s="1" t="s">
        <v>1315</v>
      </c>
      <c r="D361" s="1">
        <v>1</v>
      </c>
      <c r="E361" s="1" t="s">
        <v>525</v>
      </c>
      <c r="F361" s="4">
        <v>45496</v>
      </c>
      <c r="G361" s="4">
        <f>IF(F361="","",EDATE(F361,12)-1)</f>
        <v>45860</v>
      </c>
      <c r="H361" s="1" t="str">
        <f>IFERROR(INDEX(tblAudits[Audit Type],MATCH(B361,tblAudits[Audit ID],0)),"")</f>
        <v>HVNL Management Plan</v>
      </c>
      <c r="I361" s="1" t="str">
        <f>IF(J361="","",IFERROR(INDEX(tblOrgs[Client Name],MATCH(J361,tblOrgs[Client ABN],0)),""))</f>
        <v>STG Pumps Pty Ltd</v>
      </c>
      <c r="J361" s="1">
        <f>IFERROR(INDEX(tblAudits[Client ABN],MATCH(B361,tblAudits[Audit ID],0)),"")</f>
        <v>61602493872</v>
      </c>
      <c r="K361" s="1"/>
    </row>
    <row r="362" spans="1:11" x14ac:dyDescent="0.25">
      <c r="A362" s="1" t="s">
        <v>1350</v>
      </c>
      <c r="B362" s="1" t="s">
        <v>428</v>
      </c>
      <c r="C362" s="1" t="s">
        <v>1351</v>
      </c>
      <c r="D362" s="1">
        <v>1</v>
      </c>
      <c r="E362" s="1" t="s">
        <v>525</v>
      </c>
      <c r="F362" s="4">
        <v>45496</v>
      </c>
      <c r="G362" s="4">
        <f>IF(F362="","",EDATE(F362,12)-1)</f>
        <v>45860</v>
      </c>
      <c r="H362" s="1" t="str">
        <f>IFERROR(INDEX(tblAudits[Audit Type],MATCH(B362,tblAudits[Audit ID],0)),"")</f>
        <v>WHS Management System</v>
      </c>
      <c r="I362" s="1" t="str">
        <f>IF(J362="","",IFERROR(INDEX(tblOrgs[Client Name],MATCH(J362,tblOrgs[Client ABN],0)),""))</f>
        <v>STG Pumps Pty Ltd</v>
      </c>
      <c r="J362" s="1">
        <f>IFERROR(INDEX(tblAudits[Client ABN],MATCH(B362,tblAudits[Audit ID],0)),"")</f>
        <v>61602493872</v>
      </c>
      <c r="K362" s="1"/>
    </row>
    <row r="363" spans="1:11" x14ac:dyDescent="0.25">
      <c r="A363" s="1" t="s">
        <v>1198</v>
      </c>
      <c r="B363" s="1" t="s">
        <v>352</v>
      </c>
      <c r="C363" s="1" t="s">
        <v>1199</v>
      </c>
      <c r="D363" s="1">
        <v>1</v>
      </c>
      <c r="E363" s="1" t="s">
        <v>525</v>
      </c>
      <c r="F363" s="4">
        <v>45534</v>
      </c>
      <c r="G363" s="4">
        <f>IF(F363="","",EDATE(F363,12)-1)</f>
        <v>45898</v>
      </c>
      <c r="H363" s="1" t="str">
        <f>IFERROR(INDEX(tblAudits[Audit Type],MATCH(B363,tblAudits[Audit ID],0)),"")</f>
        <v>HVNL Management Plan</v>
      </c>
      <c r="I363" s="1" t="str">
        <f>IF(J363="","",IFERROR(INDEX(tblOrgs[Client Name],MATCH(J363,tblOrgs[Client ABN],0)),""))</f>
        <v>Durkin Construction Pty Ltd</v>
      </c>
      <c r="J363" s="1">
        <f>IFERROR(INDEX(tblAudits[Client ABN],MATCH(B363,tblAudits[Audit ID],0)),"")</f>
        <v>73615246118</v>
      </c>
      <c r="K363" s="1"/>
    </row>
    <row r="364" spans="1:11" x14ac:dyDescent="0.25">
      <c r="A364" s="1" t="s">
        <v>1208</v>
      </c>
      <c r="B364" s="1" t="s">
        <v>357</v>
      </c>
      <c r="C364" s="1" t="s">
        <v>1209</v>
      </c>
      <c r="D364" s="1">
        <v>1</v>
      </c>
      <c r="E364" s="1" t="s">
        <v>525</v>
      </c>
      <c r="F364" s="4">
        <v>45505</v>
      </c>
      <c r="G364" s="4">
        <f>IF(F364="","",EDATE(F364,12)-1)</f>
        <v>45869</v>
      </c>
      <c r="H364" s="1" t="str">
        <f>IFERROR(INDEX(tblAudits[Audit Type],MATCH(B364,tblAudits[Audit ID],0)),"")</f>
        <v>HVNL Management Plan</v>
      </c>
      <c r="I364" s="1" t="str">
        <f>IF(J364="","",IFERROR(INDEX(tblOrgs[Client Name],MATCH(J364,tblOrgs[Client ABN],0)),""))</f>
        <v>Euro Civil Pty Ltd</v>
      </c>
      <c r="J364" s="1">
        <f>IFERROR(INDEX(tblAudits[Client ABN],MATCH(B364,tblAudits[Audit ID],0)),"")</f>
        <v>85057330748</v>
      </c>
      <c r="K364" s="1"/>
    </row>
    <row r="365" spans="1:11" x14ac:dyDescent="0.25">
      <c r="A365" s="1" t="s">
        <v>1278</v>
      </c>
      <c r="B365" s="1" t="s">
        <v>392</v>
      </c>
      <c r="C365" s="1" t="s">
        <v>1279</v>
      </c>
      <c r="D365" s="1">
        <v>1</v>
      </c>
      <c r="E365" s="1" t="s">
        <v>525</v>
      </c>
      <c r="F365" s="4">
        <v>45535</v>
      </c>
      <c r="G365" s="4">
        <f>IF(F365="","",EDATE(F365,12)-1)</f>
        <v>45899</v>
      </c>
      <c r="H365" s="1" t="str">
        <f>IFERROR(INDEX(tblAudits[Audit Type],MATCH(B365,tblAudits[Audit ID],0)),"")</f>
        <v>HVNL Management Plan</v>
      </c>
      <c r="I365" s="1" t="str">
        <f>IF(J365="","",IFERROR(INDEX(tblOrgs[Client Name],MATCH(J365,tblOrgs[Client ABN],0)),""))</f>
        <v>Patriot Tankers Pty Ltd</v>
      </c>
      <c r="J365" s="1">
        <f>IFERROR(INDEX(tblAudits[Client ABN],MATCH(B365,tblAudits[Audit ID],0)),"")</f>
        <v>58133136400</v>
      </c>
      <c r="K365" s="1"/>
    </row>
    <row r="366" spans="1:11" x14ac:dyDescent="0.25">
      <c r="A366" s="1" t="s">
        <v>1312</v>
      </c>
      <c r="B366" s="1" t="s">
        <v>409</v>
      </c>
      <c r="C366" s="1" t="s">
        <v>1313</v>
      </c>
      <c r="D366" s="1">
        <v>1</v>
      </c>
      <c r="E366" s="1" t="s">
        <v>525</v>
      </c>
      <c r="F366" s="4">
        <v>45496</v>
      </c>
      <c r="G366" s="4">
        <f>IF(F366="","",EDATE(F366,12)-1)</f>
        <v>45860</v>
      </c>
      <c r="H366" s="1" t="str">
        <f>IFERROR(INDEX(tblAudits[Audit Type],MATCH(B366,tblAudits[Audit ID],0)),"")</f>
        <v>HVNL Management Plan</v>
      </c>
      <c r="I366" s="1" t="str">
        <f>IF(J366="","",IFERROR(INDEX(tblOrgs[Client Name],MATCH(J366,tblOrgs[Client ABN],0)),""))</f>
        <v>STG Pumps Pty Ltd</v>
      </c>
      <c r="J366" s="1">
        <f>IFERROR(INDEX(tblAudits[Client ABN],MATCH(B366,tblAudits[Audit ID],0)),"")</f>
        <v>61602493872</v>
      </c>
      <c r="K366" s="1"/>
    </row>
    <row r="367" spans="1:11" x14ac:dyDescent="0.25">
      <c r="A367" s="1" t="s">
        <v>1356</v>
      </c>
      <c r="B367" s="1" t="s">
        <v>431</v>
      </c>
      <c r="C367" s="1" t="s">
        <v>1357</v>
      </c>
      <c r="D367" s="1">
        <v>1</v>
      </c>
      <c r="E367" s="1" t="s">
        <v>525</v>
      </c>
      <c r="F367" s="4">
        <v>45496</v>
      </c>
      <c r="G367" s="4">
        <f>IF(F367="","",EDATE(F367,12)-1)</f>
        <v>45860</v>
      </c>
      <c r="H367" s="1" t="str">
        <f>IFERROR(INDEX(tblAudits[Audit Type],MATCH(B367,tblAudits[Audit ID],0)),"")</f>
        <v>WHSEQ Integrated Management System</v>
      </c>
      <c r="I367" s="1" t="str">
        <f>IF(J367="","",IFERROR(INDEX(tblOrgs[Client Name],MATCH(J367,tblOrgs[Client ABN],0)),""))</f>
        <v>STG Pumps Pty Ltd</v>
      </c>
      <c r="J367" s="1">
        <f>IFERROR(INDEX(tblAudits[Client ABN],MATCH(B367,tblAudits[Audit ID],0)),"")</f>
        <v>61602493872</v>
      </c>
      <c r="K367" s="1"/>
    </row>
    <row r="368" spans="1:11" x14ac:dyDescent="0.25">
      <c r="A368" s="1" t="s">
        <v>1200</v>
      </c>
      <c r="B368" s="1" t="s">
        <v>353</v>
      </c>
      <c r="C368" s="1" t="s">
        <v>1201</v>
      </c>
      <c r="D368" s="1">
        <v>1</v>
      </c>
      <c r="E368" s="1" t="s">
        <v>525</v>
      </c>
      <c r="F368" s="4">
        <v>45518</v>
      </c>
      <c r="G368" s="4">
        <f>IF(F368="","",EDATE(F368,12)-1)</f>
        <v>45882</v>
      </c>
      <c r="H368" s="1" t="str">
        <f>IFERROR(INDEX(tblAudits[Audit Type],MATCH(B368,tblAudits[Audit ID],0)),"")</f>
        <v>HVNL Management Plan</v>
      </c>
      <c r="I368" s="1" t="str">
        <f>IF(J368="","",IFERROR(INDEX(tblOrgs[Client Name],MATCH(J368,tblOrgs[Client ABN],0)),""))</f>
        <v>Earthtek Excavations Pty Ltd</v>
      </c>
      <c r="J368" s="1">
        <f>IFERROR(INDEX(tblAudits[Client ABN],MATCH(B368,tblAudits[Audit ID],0)),"")</f>
        <v>54090536575</v>
      </c>
      <c r="K368" s="1"/>
    </row>
    <row r="369" spans="1:11" x14ac:dyDescent="0.25">
      <c r="A369" s="1" t="s">
        <v>1346</v>
      </c>
      <c r="B369" s="1" t="s">
        <v>426</v>
      </c>
      <c r="C369" s="1" t="s">
        <v>1347</v>
      </c>
      <c r="D369" s="1">
        <v>1</v>
      </c>
      <c r="E369" s="1" t="s">
        <v>525</v>
      </c>
      <c r="F369" s="4">
        <v>45518</v>
      </c>
      <c r="G369" s="4">
        <f>IF(F369="","",EDATE(F369,12)-1)</f>
        <v>45882</v>
      </c>
      <c r="H369" s="1" t="str">
        <f>IFERROR(INDEX(tblAudits[Audit Type],MATCH(B369,tblAudits[Audit ID],0)),"")</f>
        <v>WHS Management System</v>
      </c>
      <c r="I369" s="1" t="str">
        <f>IF(J369="","",IFERROR(INDEX(tblOrgs[Client Name],MATCH(J369,tblOrgs[Client ABN],0)),""))</f>
        <v>Earthtek Excavations Pty Ltd</v>
      </c>
      <c r="J369" s="1">
        <f>IFERROR(INDEX(tblAudits[Client ABN],MATCH(B369,tblAudits[Audit ID],0)),"")</f>
        <v>54090536575</v>
      </c>
      <c r="K369" s="1"/>
    </row>
    <row r="370" spans="1:11" x14ac:dyDescent="0.25">
      <c r="A370" s="1" t="s">
        <v>1232</v>
      </c>
      <c r="B370" s="1" t="s">
        <v>369</v>
      </c>
      <c r="C370" s="1" t="s">
        <v>1233</v>
      </c>
      <c r="D370" s="1">
        <v>1</v>
      </c>
      <c r="E370" s="1" t="s">
        <v>525</v>
      </c>
      <c r="F370" s="4">
        <v>45515</v>
      </c>
      <c r="G370" s="4">
        <f>IF(F370="","",EDATE(F370,12)-1)</f>
        <v>45879</v>
      </c>
      <c r="H370" s="1" t="str">
        <f>IFERROR(INDEX(tblAudits[Audit Type],MATCH(B370,tblAudits[Audit ID],0)),"")</f>
        <v>HVNL Management Plan</v>
      </c>
      <c r="I370" s="1" t="str">
        <f>IF(J370="","",IFERROR(INDEX(tblOrgs[Client Name],MATCH(J370,tblOrgs[Client ABN],0)),""))</f>
        <v>HL Landscapes Pty Ltd</v>
      </c>
      <c r="J370" s="1">
        <f>IFERROR(INDEX(tblAudits[Client ABN],MATCH(B370,tblAudits[Audit ID],0)),"")</f>
        <v>92119886734</v>
      </c>
      <c r="K370" s="1"/>
    </row>
    <row r="371" spans="1:11" x14ac:dyDescent="0.25">
      <c r="A371" s="1" t="s">
        <v>1186</v>
      </c>
      <c r="B371" s="1" t="s">
        <v>346</v>
      </c>
      <c r="C371" s="1" t="s">
        <v>1187</v>
      </c>
      <c r="D371" s="1">
        <v>1</v>
      </c>
      <c r="E371" s="1" t="s">
        <v>525</v>
      </c>
      <c r="F371" s="4">
        <v>45464</v>
      </c>
      <c r="G371" s="4">
        <f>IF(F371="","",EDATE(F371,12)-1)</f>
        <v>45828</v>
      </c>
      <c r="H371" s="1" t="str">
        <f>IFERROR(INDEX(tblAudits[Audit Type],MATCH(B371,tblAudits[Audit ID],0)),"")</f>
        <v>HVNL Management Plan</v>
      </c>
      <c r="I371" s="1" t="str">
        <f>IF(J371="","",IFERROR(INDEX(tblOrgs[Client Name],MATCH(J371,tblOrgs[Client ABN],0)),""))</f>
        <v>Comfort Sleep Bedding Pty Ltd</v>
      </c>
      <c r="J371" s="1">
        <f>IFERROR(INDEX(tblAudits[Client ABN],MATCH(B371,tblAudits[Audit ID],0)),"")</f>
        <v>52655705114</v>
      </c>
      <c r="K371" s="1"/>
    </row>
    <row r="372" spans="1:11" x14ac:dyDescent="0.25">
      <c r="A372" s="1" t="s">
        <v>1160</v>
      </c>
      <c r="B372" s="1" t="s">
        <v>333</v>
      </c>
      <c r="C372" s="1" t="s">
        <v>1161</v>
      </c>
      <c r="D372" s="1">
        <v>1</v>
      </c>
      <c r="E372" s="1" t="s">
        <v>525</v>
      </c>
      <c r="F372" s="4">
        <v>45495</v>
      </c>
      <c r="G372" s="4">
        <f>IF(F372="","",EDATE(F372,12)-1)</f>
        <v>45859</v>
      </c>
      <c r="H372" s="1" t="str">
        <f>IFERROR(INDEX(tblAudits[Audit Type],MATCH(B372,tblAudits[Audit ID],0)),"")</f>
        <v>HVNL Management Plan</v>
      </c>
      <c r="I372" s="1" t="str">
        <f>IF(J372="","",IFERROR(INDEX(tblOrgs[Client Name],MATCH(J372,tblOrgs[Client ABN],0)),""))</f>
        <v>Ash (Vic) Pty Ltd</v>
      </c>
      <c r="J372" s="1">
        <f>IFERROR(INDEX(tblAudits[Client ABN],MATCH(B372,tblAudits[Audit ID],0)),"")</f>
        <v>29115372613</v>
      </c>
      <c r="K372" s="1"/>
    </row>
    <row r="373" spans="1:11" x14ac:dyDescent="0.25">
      <c r="A373" s="1" t="s">
        <v>1170</v>
      </c>
      <c r="B373" s="1" t="s">
        <v>338</v>
      </c>
      <c r="C373" s="1" t="s">
        <v>1171</v>
      </c>
      <c r="D373" s="1">
        <v>1</v>
      </c>
      <c r="E373" s="1" t="s">
        <v>525</v>
      </c>
      <c r="F373" s="4">
        <v>45519</v>
      </c>
      <c r="G373" s="4">
        <f>IF(F373="","",EDATE(F373,12)-1)</f>
        <v>45883</v>
      </c>
      <c r="H373" s="1" t="str">
        <f>IFERROR(INDEX(tblAudits[Audit Type],MATCH(B373,tblAudits[Audit ID],0)),"")</f>
        <v>HVNL Management Plan</v>
      </c>
      <c r="I373" s="1" t="str">
        <f>IF(J373="","",IFERROR(INDEX(tblOrgs[Client Name],MATCH(J373,tblOrgs[Client ABN],0)),""))</f>
        <v>Barlina Pty Ltd</v>
      </c>
      <c r="J373" s="1">
        <f>IFERROR(INDEX(tblAudits[Client ABN],MATCH(B373,tblAudits[Audit ID],0)),"")</f>
        <v>40078243526</v>
      </c>
      <c r="K373" s="1"/>
    </row>
    <row r="374" spans="1:11" x14ac:dyDescent="0.25">
      <c r="A374" s="1" t="s">
        <v>1304</v>
      </c>
      <c r="B374" s="1" t="s">
        <v>405</v>
      </c>
      <c r="C374" s="1" t="s">
        <v>1305</v>
      </c>
      <c r="D374" s="1">
        <v>1</v>
      </c>
      <c r="E374" s="1" t="s">
        <v>525</v>
      </c>
      <c r="F374" s="4">
        <v>45536</v>
      </c>
      <c r="G374" s="4">
        <f>IF(F374="","",EDATE(F374,12)-1)</f>
        <v>45900</v>
      </c>
      <c r="H374" s="1" t="str">
        <f>IFERROR(INDEX(tblAudits[Audit Type],MATCH(B374,tblAudits[Audit ID],0)),"")</f>
        <v>HVNL Management Plan</v>
      </c>
      <c r="I374" s="1" t="str">
        <f>IF(J374="","",IFERROR(INDEX(tblOrgs[Client Name],MATCH(J374,tblOrgs[Client ABN],0)),""))</f>
        <v>Skeffmac Pty Ltd</v>
      </c>
      <c r="J374" s="1">
        <f>IFERROR(INDEX(tblAudits[Client ABN],MATCH(B374,tblAudits[Audit ID],0)),"")</f>
        <v>26639030774</v>
      </c>
      <c r="K374" s="1"/>
    </row>
    <row r="375" spans="1:11" x14ac:dyDescent="0.25">
      <c r="A375" s="1" t="s">
        <v>1230</v>
      </c>
      <c r="B375" s="1" t="s">
        <v>368</v>
      </c>
      <c r="C375" s="1" t="s">
        <v>1231</v>
      </c>
      <c r="D375" s="1">
        <v>1</v>
      </c>
      <c r="E375" s="1" t="s">
        <v>525</v>
      </c>
      <c r="F375" s="4">
        <v>45522</v>
      </c>
      <c r="G375" s="4">
        <f>IF(F375="","",EDATE(F375,12)-1)</f>
        <v>45886</v>
      </c>
      <c r="H375" s="1" t="str">
        <f>IFERROR(INDEX(tblAudits[Audit Type],MATCH(B375,tblAudits[Audit ID],0)),"")</f>
        <v>HVNL Management Plan</v>
      </c>
      <c r="I375" s="1" t="str">
        <f>IF(J375="","",IFERROR(INDEX(tblOrgs[Client Name],MATCH(J375,tblOrgs[Client ABN],0)),""))</f>
        <v>Hirecorp Pty Ltd</v>
      </c>
      <c r="J375" s="1">
        <f>IFERROR(INDEX(tblAudits[Client ABN],MATCH(B375,tblAudits[Audit ID],0)),"")</f>
        <v>12611161829</v>
      </c>
      <c r="K375" s="1"/>
    </row>
    <row r="376" spans="1:11" x14ac:dyDescent="0.25">
      <c r="A376" s="1" t="s">
        <v>1336</v>
      </c>
      <c r="B376" s="1" t="s">
        <v>421</v>
      </c>
      <c r="C376" s="1" t="s">
        <v>1337</v>
      </c>
      <c r="D376" s="1">
        <v>1</v>
      </c>
      <c r="E376" s="1" t="s">
        <v>525</v>
      </c>
      <c r="F376" s="4">
        <v>45549</v>
      </c>
      <c r="G376" s="4">
        <f>IF(F376="","",EDATE(F376,12)-1)</f>
        <v>45913</v>
      </c>
      <c r="H376" s="1" t="str">
        <f>IFERROR(INDEX(tblAudits[Audit Type],MATCH(B376,tblAudits[Audit ID],0)),"")</f>
        <v>HVNL Management Plan</v>
      </c>
      <c r="I376" s="1" t="str">
        <f>IF(J376="","",IFERROR(INDEX(tblOrgs[Client Name],MATCH(J376,tblOrgs[Client ABN],0)),""))</f>
        <v>Victorian Crane Hire Pty Ltd</v>
      </c>
      <c r="J376" s="1">
        <f>IFERROR(INDEX(tblAudits[Client ABN],MATCH(B376,tblAudits[Audit ID],0)),"")</f>
        <v>15619105092</v>
      </c>
      <c r="K376" s="1"/>
    </row>
    <row r="377" spans="1:11" x14ac:dyDescent="0.25">
      <c r="A377" s="1" t="s">
        <v>1074</v>
      </c>
      <c r="B377" s="1" t="s">
        <v>289</v>
      </c>
      <c r="C377" s="1" t="s">
        <v>1075</v>
      </c>
      <c r="D377" s="1">
        <v>1</v>
      </c>
      <c r="E377" s="1" t="s">
        <v>525</v>
      </c>
      <c r="F377" s="4">
        <v>45260</v>
      </c>
      <c r="G377" s="4">
        <f>IF(F377="","",EDATE(F377,12)-1)</f>
        <v>45625</v>
      </c>
      <c r="H377" s="1" t="str">
        <f>IFERROR(INDEX(tblAudits[Audit Type],MATCH(B377,tblAudits[Audit ID],0)),"")</f>
        <v>HVNL Management Plan</v>
      </c>
      <c r="I377" s="1" t="str">
        <f>IF(J377="","",IFERROR(INDEX(tblOrgs[Client Name],MATCH(J377,tblOrgs[Client ABN],0)),""))</f>
        <v>Q Electrical Services Pty Ltd</v>
      </c>
      <c r="J377" s="1">
        <f>IFERROR(INDEX(tblAudits[Client ABN],MATCH(B377,tblAudits[Audit ID],0)),"")</f>
        <v>70068064817</v>
      </c>
      <c r="K377" s="1"/>
    </row>
    <row r="378" spans="1:11" x14ac:dyDescent="0.25">
      <c r="A378" s="1" t="s">
        <v>1188</v>
      </c>
      <c r="B378" s="1" t="s">
        <v>347</v>
      </c>
      <c r="C378" s="1" t="s">
        <v>1189</v>
      </c>
      <c r="D378" s="1">
        <v>1</v>
      </c>
      <c r="E378" s="1" t="s">
        <v>525</v>
      </c>
      <c r="F378" s="4">
        <v>45526</v>
      </c>
      <c r="G378" s="4">
        <f>IF(F378="","",EDATE(F378,12)-1)</f>
        <v>45890</v>
      </c>
      <c r="H378" s="1" t="str">
        <f>IFERROR(INDEX(tblAudits[Audit Type],MATCH(B378,tblAudits[Audit ID],0)),"")</f>
        <v>HVNL Management Plan</v>
      </c>
      <c r="I378" s="1" t="str">
        <f>IF(J378="","",IFERROR(INDEX(tblOrgs[Client Name],MATCH(J378,tblOrgs[Client ABN],0)),""))</f>
        <v>Complete Welding Services International Pty Ltd</v>
      </c>
      <c r="J378" s="1">
        <f>IFERROR(INDEX(tblAudits[Client ABN],MATCH(B378,tblAudits[Audit ID],0)),"")</f>
        <v>97054579243</v>
      </c>
      <c r="K378" s="1"/>
    </row>
    <row r="379" spans="1:11" x14ac:dyDescent="0.25">
      <c r="A379" s="1" t="s">
        <v>1354</v>
      </c>
      <c r="B379" s="1" t="s">
        <v>430</v>
      </c>
      <c r="C379" s="1" t="s">
        <v>1355</v>
      </c>
      <c r="D379" s="1">
        <v>1</v>
      </c>
      <c r="E379" s="1" t="s">
        <v>525</v>
      </c>
      <c r="F379" s="4">
        <v>45526</v>
      </c>
      <c r="G379" s="4">
        <f>IF(F379="","",EDATE(F379,12)-1)</f>
        <v>45890</v>
      </c>
      <c r="H379" s="1" t="str">
        <f>IFERROR(INDEX(tblAudits[Audit Type],MATCH(B379,tblAudits[Audit ID],0)),"")</f>
        <v>WHSEQ Integrated Management System</v>
      </c>
      <c r="I379" s="1" t="str">
        <f>IF(J379="","",IFERROR(INDEX(tblOrgs[Client Name],MATCH(J379,tblOrgs[Client ABN],0)),""))</f>
        <v>Hirecorp Pty Ltd</v>
      </c>
      <c r="J379" s="1">
        <f>IFERROR(INDEX(tblAudits[Client ABN],MATCH(B379,tblAudits[Audit ID],0)),"")</f>
        <v>12611161829</v>
      </c>
      <c r="K379" s="1"/>
    </row>
    <row r="380" spans="1:11" x14ac:dyDescent="0.25">
      <c r="A380" s="1" t="s">
        <v>1212</v>
      </c>
      <c r="B380" s="1" t="s">
        <v>359</v>
      </c>
      <c r="C380" s="1" t="s">
        <v>1213</v>
      </c>
      <c r="D380" s="1">
        <v>1</v>
      </c>
      <c r="E380" s="1" t="s">
        <v>525</v>
      </c>
      <c r="F380" s="4">
        <v>45537</v>
      </c>
      <c r="G380" s="4">
        <f>IF(F380="","",EDATE(F380,12)-1)</f>
        <v>45901</v>
      </c>
      <c r="H380" s="1" t="str">
        <f>IFERROR(INDEX(tblAudits[Audit Type],MATCH(B380,tblAudits[Audit ID],0)),"")</f>
        <v>HVNL Management Plan</v>
      </c>
      <c r="I380" s="1" t="str">
        <f>IF(J380="","",IFERROR(INDEX(tblOrgs[Client Name],MATCH(J380,tblOrgs[Client ABN],0)),""))</f>
        <v>F and Sons Transport Pty Ltd</v>
      </c>
      <c r="J380" s="1">
        <f>IFERROR(INDEX(tblAudits[Client ABN],MATCH(B380,tblAudits[Audit ID],0)),"")</f>
        <v>48109484004</v>
      </c>
      <c r="K380" s="1"/>
    </row>
    <row r="381" spans="1:11" x14ac:dyDescent="0.25">
      <c r="A381" s="1" t="s">
        <v>1164</v>
      </c>
      <c r="B381" s="1" t="s">
        <v>335</v>
      </c>
      <c r="C381" s="1" t="s">
        <v>1165</v>
      </c>
      <c r="D381" s="1">
        <v>1</v>
      </c>
      <c r="E381" s="1" t="s">
        <v>525</v>
      </c>
      <c r="F381" s="4">
        <v>45550</v>
      </c>
      <c r="G381" s="4">
        <f>IF(F381="","",EDATE(F381,12)-1)</f>
        <v>45914</v>
      </c>
      <c r="H381" s="1" t="str">
        <f>IFERROR(INDEX(tblAudits[Audit Type],MATCH(B381,tblAudits[Audit ID],0)),"")</f>
        <v>HVNL Management Plan</v>
      </c>
      <c r="I381" s="1" t="str">
        <f>IF(J381="","",IFERROR(INDEX(tblOrgs[Client Name],MATCH(J381,tblOrgs[Client ABN],0)),""))</f>
        <v>Astern Group Pty Ltd</v>
      </c>
      <c r="J381" s="1">
        <f>IFERROR(INDEX(tblAudits[Client ABN],MATCH(B381,tblAudits[Audit ID],0)),"")</f>
        <v>68609740105</v>
      </c>
      <c r="K381" s="1"/>
    </row>
    <row r="382" spans="1:11" x14ac:dyDescent="0.25">
      <c r="A382" s="1" t="s">
        <v>1144</v>
      </c>
      <c r="B382" s="1" t="s">
        <v>325</v>
      </c>
      <c r="C382" s="1" t="s">
        <v>1145</v>
      </c>
      <c r="D382" s="1">
        <v>1</v>
      </c>
      <c r="E382" s="1" t="s">
        <v>525</v>
      </c>
      <c r="F382" s="4">
        <v>45457</v>
      </c>
      <c r="G382" s="4">
        <f>IF(F382="","",EDATE(F382,12)-1)</f>
        <v>45821</v>
      </c>
      <c r="H382" s="1" t="str">
        <f>IFERROR(INDEX(tblAudits[Audit Type],MATCH(B382,tblAudits[Audit ID],0)),"")</f>
        <v>HVNL Management Plan</v>
      </c>
      <c r="I382" s="1" t="str">
        <f>IF(J382="","",IFERROR(INDEX(tblOrgs[Client Name],MATCH(J382,tblOrgs[Client ABN],0)),""))</f>
        <v>Abyss Construction Pty Ltd</v>
      </c>
      <c r="J382" s="1">
        <f>IFERROR(INDEX(tblAudits[Client ABN],MATCH(B382,tblAudits[Audit ID],0)),"")</f>
        <v>50614066223</v>
      </c>
      <c r="K382" s="1"/>
    </row>
    <row r="383" spans="1:11" x14ac:dyDescent="0.25">
      <c r="A383" s="1" t="s">
        <v>1254</v>
      </c>
      <c r="B383" s="1" t="s">
        <v>380</v>
      </c>
      <c r="C383" s="1" t="s">
        <v>1255</v>
      </c>
      <c r="D383" s="1">
        <v>1</v>
      </c>
      <c r="E383" s="1" t="s">
        <v>525</v>
      </c>
      <c r="F383" s="4">
        <v>45551</v>
      </c>
      <c r="G383" s="4">
        <f>IF(F383="","",EDATE(F383,12)-1)</f>
        <v>45915</v>
      </c>
      <c r="H383" s="1" t="str">
        <f>IFERROR(INDEX(tblAudits[Audit Type],MATCH(B383,tblAudits[Audit ID],0)),"")</f>
        <v>HVNL Management Plan</v>
      </c>
      <c r="I383" s="1" t="str">
        <f>IF(J383="","",IFERROR(INDEX(tblOrgs[Client Name],MATCH(J383,tblOrgs[Client ABN],0)),""))</f>
        <v>Mansour Paving (Aust) Pty Ltd</v>
      </c>
      <c r="J383" s="1">
        <f>IFERROR(INDEX(tblAudits[Client ABN],MATCH(B383,tblAudits[Audit ID],0)),"")</f>
        <v>13127365039</v>
      </c>
      <c r="K383" s="1"/>
    </row>
    <row r="384" spans="1:11" x14ac:dyDescent="0.25">
      <c r="A384" s="1" t="s">
        <v>1184</v>
      </c>
      <c r="B384" s="1" t="s">
        <v>345</v>
      </c>
      <c r="C384" s="1" t="s">
        <v>1185</v>
      </c>
      <c r="D384" s="1">
        <v>1</v>
      </c>
      <c r="E384" s="1" t="s">
        <v>525</v>
      </c>
      <c r="F384" s="4">
        <v>45543</v>
      </c>
      <c r="G384" s="4">
        <f>IF(F384="","",EDATE(F384,12)-1)</f>
        <v>45907</v>
      </c>
      <c r="H384" s="1" t="str">
        <f>IFERROR(INDEX(tblAudits[Audit Type],MATCH(B384,tblAudits[Audit ID],0)),"")</f>
        <v>HVNL Management Plan</v>
      </c>
      <c r="I384" s="1" t="str">
        <f>IF(J384="","",IFERROR(INDEX(tblOrgs[Client Name],MATCH(J384,tblOrgs[Client ABN],0)),""))</f>
        <v>Coates Hire Operations Pty Limited</v>
      </c>
      <c r="J384" s="1">
        <f>IFERROR(INDEX(tblAudits[Client ABN],MATCH(B384,tblAudits[Audit ID],0)),"")</f>
        <v>99074126971</v>
      </c>
      <c r="K384" s="1"/>
    </row>
    <row r="385" spans="1:11" x14ac:dyDescent="0.25">
      <c r="A385" s="1" t="s">
        <v>1216</v>
      </c>
      <c r="B385" s="1" t="s">
        <v>361</v>
      </c>
      <c r="C385" s="1" t="s">
        <v>1217</v>
      </c>
      <c r="D385" s="1">
        <v>1</v>
      </c>
      <c r="E385" s="1" t="s">
        <v>525</v>
      </c>
      <c r="F385" s="4">
        <v>45589</v>
      </c>
      <c r="G385" s="4">
        <f>IF(F385="","",EDATE(F385,12)-1)</f>
        <v>45953</v>
      </c>
      <c r="H385" s="1" t="str">
        <f>IFERROR(INDEX(tblAudits[Audit Type],MATCH(B385,tblAudits[Audit ID],0)),"")</f>
        <v>HVNL Management Plan</v>
      </c>
      <c r="I385" s="1" t="str">
        <f>IF(J385="","",IFERROR(INDEX(tblOrgs[Client Name],MATCH(J385,tblOrgs[Client ABN],0)),""))</f>
        <v>Focus Hire Pty Ltd</v>
      </c>
      <c r="J385" s="1">
        <f>IFERROR(INDEX(tblAudits[Client ABN],MATCH(B385,tblAudits[Audit ID],0)),"")</f>
        <v>27624650406</v>
      </c>
      <c r="K385" s="1"/>
    </row>
    <row r="386" spans="1:11" x14ac:dyDescent="0.25">
      <c r="A386" s="1" t="s">
        <v>1142</v>
      </c>
      <c r="B386" s="1" t="s">
        <v>324</v>
      </c>
      <c r="C386" s="1" t="s">
        <v>1143</v>
      </c>
      <c r="D386" s="1">
        <v>1</v>
      </c>
      <c r="E386" s="1" t="s">
        <v>525</v>
      </c>
      <c r="F386" s="4">
        <v>45584</v>
      </c>
      <c r="G386" s="4">
        <f>IF(F386="","",EDATE(F386,12)-1)</f>
        <v>45948</v>
      </c>
      <c r="H386" s="1" t="str">
        <f>IFERROR(INDEX(tblAudits[Audit Type],MATCH(B386,tblAudits[Audit ID],0)),"")</f>
        <v>HVNL Management Plan</v>
      </c>
      <c r="I386" s="1" t="str">
        <f>IF(J386="","",IFERROR(INDEX(tblOrgs[Client Name],MATCH(J386,tblOrgs[Client ABN],0)),""))</f>
        <v>Above Scaffolding Pty Ltd</v>
      </c>
      <c r="J386" s="1">
        <f>IFERROR(INDEX(tblAudits[Client ABN],MATCH(B386,tblAudits[Audit ID],0)),"")</f>
        <v>74073575201</v>
      </c>
      <c r="K386" s="1"/>
    </row>
    <row r="387" spans="1:11" x14ac:dyDescent="0.25">
      <c r="A387" s="1" t="s">
        <v>1258</v>
      </c>
      <c r="B387" s="1" t="s">
        <v>382</v>
      </c>
      <c r="C387" s="1" t="s">
        <v>1259</v>
      </c>
      <c r="D387" s="1">
        <v>1</v>
      </c>
      <c r="E387" s="1" t="s">
        <v>525</v>
      </c>
      <c r="F387" s="4">
        <v>45594</v>
      </c>
      <c r="G387" s="4">
        <f>IF(F387="","",EDATE(F387,12)-1)</f>
        <v>45958</v>
      </c>
      <c r="H387" s="1" t="str">
        <f>IFERROR(INDEX(tblAudits[Audit Type],MATCH(B387,tblAudits[Audit ID],0)),"")</f>
        <v>HVNL Management Plan</v>
      </c>
      <c r="I387" s="1" t="str">
        <f>IF(J387="","",IFERROR(INDEX(tblOrgs[Client Name],MATCH(J387,tblOrgs[Client ABN],0)),""))</f>
        <v>Mataniel Laurate Pty Ltd</v>
      </c>
      <c r="J387" s="1">
        <f>IFERROR(INDEX(tblAudits[Client ABN],MATCH(B387,tblAudits[Audit ID],0)),"")</f>
        <v>37094906028</v>
      </c>
      <c r="K387" s="1"/>
    </row>
    <row r="388" spans="1:11" x14ac:dyDescent="0.25">
      <c r="A388" s="1" t="s">
        <v>1196</v>
      </c>
      <c r="B388" s="1" t="s">
        <v>351</v>
      </c>
      <c r="C388" s="1" t="s">
        <v>1197</v>
      </c>
      <c r="D388" s="1">
        <v>1</v>
      </c>
      <c r="E388" s="1" t="s">
        <v>525</v>
      </c>
      <c r="F388" s="4">
        <v>45555</v>
      </c>
      <c r="G388" s="4">
        <f>IF(F388="","",EDATE(F388,12)-1)</f>
        <v>45919</v>
      </c>
      <c r="H388" s="1" t="str">
        <f>IFERROR(INDEX(tblAudits[Audit Type],MATCH(B388,tblAudits[Audit ID],0)),"")</f>
        <v>HVNL Management Plan</v>
      </c>
      <c r="I388" s="1" t="str">
        <f>IF(J388="","",IFERROR(INDEX(tblOrgs[Client Name],MATCH(J388,tblOrgs[Client ABN],0)),""))</f>
        <v>Delta Machine Kerbing Pty Ltd</v>
      </c>
      <c r="J388" s="1">
        <f>IFERROR(INDEX(tblAudits[Client ABN],MATCH(B388,tblAudits[Audit ID],0)),"")</f>
        <v>28068134672</v>
      </c>
      <c r="K388" s="1"/>
    </row>
    <row r="389" spans="1:11" x14ac:dyDescent="0.25">
      <c r="A389" s="1" t="s">
        <v>1308</v>
      </c>
      <c r="B389" s="1" t="s">
        <v>407</v>
      </c>
      <c r="C389" s="1" t="s">
        <v>1309</v>
      </c>
      <c r="D389" s="1">
        <v>1</v>
      </c>
      <c r="E389" s="1" t="s">
        <v>525</v>
      </c>
      <c r="F389" s="4">
        <v>45554</v>
      </c>
      <c r="G389" s="4">
        <f>IF(F389="","",EDATE(F389,12)-1)</f>
        <v>45918</v>
      </c>
      <c r="H389" s="1" t="str">
        <f>IFERROR(INDEX(tblAudits[Audit Type],MATCH(B389,tblAudits[Audit ID],0)),"")</f>
        <v>HVNL Management Plan</v>
      </c>
      <c r="I389" s="1" t="str">
        <f>IF(J389="","",IFERROR(INDEX(tblOrgs[Client Name],MATCH(J389,tblOrgs[Client ABN],0)),""))</f>
        <v>Speno Rail Maintenance Australia Pty Ltd</v>
      </c>
      <c r="J389" s="1">
        <f>IFERROR(INDEX(tblAudits[Client ABN],MATCH(B389,tblAudits[Audit ID],0)),"")</f>
        <v>30009206722</v>
      </c>
      <c r="K389" s="1"/>
    </row>
    <row r="390" spans="1:11" x14ac:dyDescent="0.25">
      <c r="A390" s="1" t="s">
        <v>1214</v>
      </c>
      <c r="B390" s="1" t="s">
        <v>360</v>
      </c>
      <c r="C390" s="1" t="s">
        <v>1215</v>
      </c>
      <c r="D390" s="1">
        <v>1</v>
      </c>
      <c r="E390" s="1" t="s">
        <v>525</v>
      </c>
      <c r="F390" s="4">
        <v>45587</v>
      </c>
      <c r="G390" s="4">
        <f>IF(F390="","",EDATE(F390,12)-1)</f>
        <v>45951</v>
      </c>
      <c r="H390" s="1" t="str">
        <f>IFERROR(INDEX(tblAudits[Audit Type],MATCH(B390,tblAudits[Audit ID],0)),"")</f>
        <v>HVNL Management Plan</v>
      </c>
      <c r="I390" s="1" t="str">
        <f>IF(J390="","",IFERROR(INDEX(tblOrgs[Client Name],MATCH(J390,tblOrgs[Client ABN],0)),""))</f>
        <v>Flomar Pty Ltd</v>
      </c>
      <c r="J390" s="1">
        <f>IFERROR(INDEX(tblAudits[Client ABN],MATCH(B390,tblAudits[Audit ID],0)),"")</f>
        <v>24617070407</v>
      </c>
      <c r="K390" s="1"/>
    </row>
    <row r="391" spans="1:11" x14ac:dyDescent="0.25">
      <c r="A391" s="1" t="s">
        <v>1256</v>
      </c>
      <c r="B391" s="1" t="s">
        <v>381</v>
      </c>
      <c r="C391" s="1" t="s">
        <v>1257</v>
      </c>
      <c r="D391" s="1">
        <v>1</v>
      </c>
      <c r="E391" s="1" t="s">
        <v>525</v>
      </c>
      <c r="F391" s="4">
        <v>45533</v>
      </c>
      <c r="G391" s="4">
        <f>IF(F391="","",EDATE(F391,12)-1)</f>
        <v>45897</v>
      </c>
      <c r="H391" s="1" t="str">
        <f>IFERROR(INDEX(tblAudits[Audit Type],MATCH(B391,tblAudits[Audit ID],0)),"")</f>
        <v>HVNL Management Plan</v>
      </c>
      <c r="I391" s="1" t="str">
        <f>IF(J391="","",IFERROR(INDEX(tblOrgs[Client Name],MATCH(J391,tblOrgs[Client ABN],0)),""))</f>
        <v>Marr Contracting Pty Ltd</v>
      </c>
      <c r="J391" s="1">
        <f>IFERROR(INDEX(tblAudits[Client ABN],MATCH(B391,tblAudits[Audit ID],0)),"")</f>
        <v>72001231607</v>
      </c>
      <c r="K391" s="1"/>
    </row>
    <row r="392" spans="1:11" x14ac:dyDescent="0.25">
      <c r="A392" s="1" t="s">
        <v>1246</v>
      </c>
      <c r="B392" s="1" t="s">
        <v>376</v>
      </c>
      <c r="C392" s="1" t="s">
        <v>1247</v>
      </c>
      <c r="D392" s="1">
        <v>1</v>
      </c>
      <c r="E392" s="1" t="s">
        <v>525</v>
      </c>
      <c r="F392" s="4">
        <v>45587</v>
      </c>
      <c r="G392" s="4">
        <f>IF(F392="","",EDATE(F392,12)-1)</f>
        <v>45951</v>
      </c>
      <c r="H392" s="1" t="str">
        <f>IFERROR(INDEX(tblAudits[Audit Type],MATCH(B392,tblAudits[Audit ID],0)),"")</f>
        <v>HVNL Management Plan</v>
      </c>
      <c r="I392" s="1" t="str">
        <f>IF(J392="","",IFERROR(INDEX(tblOrgs[Client Name],MATCH(J392,tblOrgs[Client ABN],0)),""))</f>
        <v>Kenny Constructions (Aust.) Pty. Limited</v>
      </c>
      <c r="J392" s="1">
        <f>IFERROR(INDEX(tblAudits[Client ABN],MATCH(B392,tblAudits[Audit ID],0)),"")</f>
        <v>74096169416</v>
      </c>
      <c r="K392" s="1"/>
    </row>
    <row r="393" spans="1:11" x14ac:dyDescent="0.25">
      <c r="A393" s="1" t="s">
        <v>1244</v>
      </c>
      <c r="B393" s="1" t="s">
        <v>375</v>
      </c>
      <c r="C393" s="1" t="s">
        <v>1245</v>
      </c>
      <c r="D393" s="1">
        <v>1</v>
      </c>
      <c r="E393" s="1" t="s">
        <v>525</v>
      </c>
      <c r="F393" s="4">
        <v>45587</v>
      </c>
      <c r="G393" s="4">
        <f>IF(F393="","",EDATE(F393,12)-1)</f>
        <v>45951</v>
      </c>
      <c r="H393" s="1" t="str">
        <f>IFERROR(INDEX(tblAudits[Audit Type],MATCH(B393,tblAudits[Audit ID],0)),"")</f>
        <v>HVNL Management Plan</v>
      </c>
      <c r="I393" s="1" t="str">
        <f>IF(J393="","",IFERROR(INDEX(tblOrgs[Client Name],MATCH(J393,tblOrgs[Client ABN],0)),""))</f>
        <v>Kenny Constructions (Aust.) Pty. Limited</v>
      </c>
      <c r="J393" s="1">
        <f>IFERROR(INDEX(tblAudits[Client ABN],MATCH(B393,tblAudits[Audit ID],0)),"")</f>
        <v>74096169416</v>
      </c>
      <c r="K393" s="1"/>
    </row>
    <row r="394" spans="1:11" x14ac:dyDescent="0.25">
      <c r="A394" s="1" t="s">
        <v>1266</v>
      </c>
      <c r="B394" s="1" t="s">
        <v>386</v>
      </c>
      <c r="C394" s="1" t="s">
        <v>1267</v>
      </c>
      <c r="D394" s="1">
        <v>1</v>
      </c>
      <c r="E394" s="1" t="s">
        <v>525</v>
      </c>
      <c r="F394" s="4">
        <v>45579</v>
      </c>
      <c r="G394" s="4">
        <f>IF(F394="","",EDATE(F394,12)-1)</f>
        <v>45943</v>
      </c>
      <c r="H394" s="1" t="str">
        <f>IFERROR(INDEX(tblAudits[Audit Type],MATCH(B394,tblAudits[Audit ID],0)),"")</f>
        <v>HVNL Management Plan</v>
      </c>
      <c r="I394" s="1" t="str">
        <f>IF(J394="","",IFERROR(INDEX(tblOrgs[Client Name],MATCH(J394,tblOrgs[Client ABN],0)),""))</f>
        <v>MJB Contractors Pty Ltd</v>
      </c>
      <c r="J394" s="1">
        <f>IFERROR(INDEX(tblAudits[Client ABN],MATCH(B394,tblAudits[Audit ID],0)),"")</f>
        <v>11091247951</v>
      </c>
      <c r="K394" s="1"/>
    </row>
    <row r="395" spans="1:11" x14ac:dyDescent="0.25">
      <c r="A395" s="1" t="s">
        <v>1334</v>
      </c>
      <c r="B395" s="1" t="s">
        <v>420</v>
      </c>
      <c r="C395" s="1" t="s">
        <v>1335</v>
      </c>
      <c r="D395" s="1">
        <v>1</v>
      </c>
      <c r="E395" s="1" t="s">
        <v>525</v>
      </c>
      <c r="F395" s="4">
        <v>45572</v>
      </c>
      <c r="G395" s="4">
        <f>IF(F395="","",EDATE(F395,12)-1)</f>
        <v>45936</v>
      </c>
      <c r="H395" s="1" t="str">
        <f>IFERROR(INDEX(tblAudits[Audit Type],MATCH(B395,tblAudits[Audit ID],0)),"")</f>
        <v>HVNL Management Plan</v>
      </c>
      <c r="I395" s="1" t="str">
        <f>IF(J395="","",IFERROR(INDEX(tblOrgs[Client Name],MATCH(J395,tblOrgs[Client ABN],0)),""))</f>
        <v>Vaughan Civil Pty Ltd</v>
      </c>
      <c r="J395" s="1">
        <f>IFERROR(INDEX(tblAudits[Client ABN],MATCH(B395,tblAudits[Audit ID],0)),"")</f>
        <v>50152638447</v>
      </c>
      <c r="K395" s="1"/>
    </row>
    <row r="396" spans="1:11" x14ac:dyDescent="0.25">
      <c r="A396" s="1" t="s">
        <v>1248</v>
      </c>
      <c r="B396" s="1" t="s">
        <v>377</v>
      </c>
      <c r="C396" s="1" t="s">
        <v>1249</v>
      </c>
      <c r="D396" s="1">
        <v>1</v>
      </c>
      <c r="E396" s="1" t="s">
        <v>525</v>
      </c>
      <c r="F396" s="4">
        <v>45582</v>
      </c>
      <c r="G396" s="4">
        <f>IF(F396="","",EDATE(F396,12)-1)</f>
        <v>45946</v>
      </c>
      <c r="H396" s="1" t="str">
        <f>IFERROR(INDEX(tblAudits[Audit Type],MATCH(B396,tblAudits[Audit ID],0)),"")</f>
        <v>HVNL Management Plan</v>
      </c>
      <c r="I396" s="1" t="str">
        <f>IF(J396="","",IFERROR(INDEX(tblOrgs[Client Name],MATCH(J396,tblOrgs[Client ABN],0)),""))</f>
        <v>LCR Group Pty Ltd</v>
      </c>
      <c r="J396" s="1">
        <f>IFERROR(INDEX(tblAudits[Client ABN],MATCH(B396,tblAudits[Audit ID],0)),"")</f>
        <v>78095626798</v>
      </c>
      <c r="K396" s="1"/>
    </row>
    <row r="397" spans="1:11" x14ac:dyDescent="0.25">
      <c r="A397" s="1" t="s">
        <v>1268</v>
      </c>
      <c r="B397" s="1" t="s">
        <v>387</v>
      </c>
      <c r="C397" s="1" t="s">
        <v>1269</v>
      </c>
      <c r="D397" s="1">
        <v>1</v>
      </c>
      <c r="E397" s="1" t="s">
        <v>525</v>
      </c>
      <c r="F397" s="4">
        <v>45597</v>
      </c>
      <c r="G397" s="4">
        <f>IF(F397="","",EDATE(F397,12)-1)</f>
        <v>45961</v>
      </c>
      <c r="H397" s="1" t="str">
        <f>IFERROR(INDEX(tblAudits[Audit Type],MATCH(B397,tblAudits[Audit ID],0)),"")</f>
        <v>HVNL Management Plan</v>
      </c>
      <c r="I397" s="1" t="str">
        <f>IF(J397="","",IFERROR(INDEX(tblOrgs[Client Name],MATCH(J397,tblOrgs[Client ABN],0)),""))</f>
        <v>Modcast Pty Ltd</v>
      </c>
      <c r="J397" s="1">
        <f>IFERROR(INDEX(tblAudits[Client ABN],MATCH(B397,tblAudits[Audit ID],0)),"")</f>
        <v>30626198847</v>
      </c>
      <c r="K397" s="1"/>
    </row>
    <row r="398" spans="1:11" x14ac:dyDescent="0.25">
      <c r="A398" s="1" t="s">
        <v>1310</v>
      </c>
      <c r="B398" s="1" t="s">
        <v>408</v>
      </c>
      <c r="C398" s="1" t="s">
        <v>1311</v>
      </c>
      <c r="D398" s="1">
        <v>1</v>
      </c>
      <c r="E398" s="1" t="s">
        <v>525</v>
      </c>
      <c r="F398" s="4">
        <v>45598</v>
      </c>
      <c r="G398" s="4">
        <f>IF(F398="","",EDATE(F398,12)-1)</f>
        <v>45962</v>
      </c>
      <c r="H398" s="1" t="str">
        <f>IFERROR(INDEX(tblAudits[Audit Type],MATCH(B398,tblAudits[Audit ID],0)),"")</f>
        <v>HVNL Management Plan</v>
      </c>
      <c r="I398" s="1" t="str">
        <f>IF(J398="","",IFERROR(INDEX(tblOrgs[Client Name],MATCH(J398,tblOrgs[Client ABN],0)),""))</f>
        <v>Stephens Plant Hire Pty Ltd</v>
      </c>
      <c r="J398" s="1">
        <f>IFERROR(INDEX(tblAudits[Client ABN],MATCH(B398,tblAudits[Audit ID],0)),"")</f>
        <v>41612483011</v>
      </c>
      <c r="K398" s="1"/>
    </row>
    <row r="399" spans="1:11" x14ac:dyDescent="0.25">
      <c r="A399" s="1" t="s">
        <v>1332</v>
      </c>
      <c r="B399" s="1" t="s">
        <v>419</v>
      </c>
      <c r="C399" s="1" t="s">
        <v>1333</v>
      </c>
      <c r="D399" s="1">
        <v>1</v>
      </c>
      <c r="E399" s="1" t="s">
        <v>525</v>
      </c>
      <c r="F399" s="4">
        <v>45622</v>
      </c>
      <c r="G399" s="4">
        <f>IF(F399="","",EDATE(F399,12)-1)</f>
        <v>45986</v>
      </c>
      <c r="H399" s="1" t="str">
        <f>IFERROR(INDEX(tblAudits[Audit Type],MATCH(B399,tblAudits[Audit ID],0)),"")</f>
        <v>HVNL Management Plan</v>
      </c>
      <c r="I399" s="1" t="str">
        <f>IF(J399="","",IFERROR(INDEX(tblOrgs[Client Name],MATCH(J399,tblOrgs[Client ABN],0)),""))</f>
        <v>Trevi Australia Pty Ltd</v>
      </c>
      <c r="J399" s="1">
        <f>IFERROR(INDEX(tblAudits[Client ABN],MATCH(B399,tblAudits[Audit ID],0)),"")</f>
        <v>91161293401</v>
      </c>
      <c r="K399" s="1"/>
    </row>
    <row r="400" spans="1:11" x14ac:dyDescent="0.25">
      <c r="A400" s="1" t="s">
        <v>1234</v>
      </c>
      <c r="B400" s="1" t="s">
        <v>370</v>
      </c>
      <c r="C400" s="1" t="s">
        <v>1235</v>
      </c>
      <c r="D400" s="1">
        <v>1</v>
      </c>
      <c r="E400" s="1" t="s">
        <v>525</v>
      </c>
      <c r="F400" s="4">
        <v>45597</v>
      </c>
      <c r="G400" s="4">
        <f>IF(F400="","",EDATE(F400,12)-1)</f>
        <v>45961</v>
      </c>
      <c r="H400" s="1" t="str">
        <f>IFERROR(INDEX(tblAudits[Audit Type],MATCH(B400,tblAudits[Audit ID],0)),"")</f>
        <v>HVNL Management Plan</v>
      </c>
      <c r="I400" s="1" t="str">
        <f>IF(J400="","",IFERROR(INDEX(tblOrgs[Client Name],MATCH(J400,tblOrgs[Client ABN],0)),""))</f>
        <v>Holcim (Australia) Pty Ltd</v>
      </c>
      <c r="J400" s="1">
        <f>IFERROR(INDEX(tblAudits[Client ABN],MATCH(B400,tblAudits[Audit ID],0)),"")</f>
        <v>87099732297</v>
      </c>
      <c r="K400" s="1"/>
    </row>
    <row r="401" spans="1:11" x14ac:dyDescent="0.25">
      <c r="A401" s="1" t="s">
        <v>1352</v>
      </c>
      <c r="B401" s="1" t="s">
        <v>429</v>
      </c>
      <c r="C401" s="1" t="s">
        <v>1353</v>
      </c>
      <c r="D401" s="1">
        <v>1</v>
      </c>
      <c r="E401" s="1" t="s">
        <v>525</v>
      </c>
      <c r="F401" s="4">
        <v>45588</v>
      </c>
      <c r="G401" s="4">
        <f>IF(F401="","",EDATE(F401,12)-1)</f>
        <v>45952</v>
      </c>
      <c r="H401" s="1" t="str">
        <f>IFERROR(INDEX(tblAudits[Audit Type],MATCH(B401,tblAudits[Audit ID],0)),"")</f>
        <v>WHS Management System</v>
      </c>
      <c r="I401" s="1" t="str">
        <f>IF(J401="","",IFERROR(INDEX(tblOrgs[Client Name],MATCH(J401,tblOrgs[Client ABN],0)),""))</f>
        <v>Wallace Concrete Pumping Pty Ltd</v>
      </c>
      <c r="J401" s="1">
        <f>IFERROR(INDEX(tblAudits[Client ABN],MATCH(B401,tblAudits[Audit ID],0)),"")</f>
        <v>49157958177</v>
      </c>
      <c r="K401" s="1"/>
    </row>
    <row r="402" spans="1:11" x14ac:dyDescent="0.25">
      <c r="A402" s="1" t="s">
        <v>1324</v>
      </c>
      <c r="B402" s="1" t="s">
        <v>415</v>
      </c>
      <c r="C402" s="1" t="s">
        <v>1325</v>
      </c>
      <c r="D402" s="1">
        <v>1</v>
      </c>
      <c r="E402" s="1" t="s">
        <v>525</v>
      </c>
      <c r="F402" s="4">
        <v>45613</v>
      </c>
      <c r="G402" s="4">
        <f>IF(F402="","",EDATE(F402,12)-1)</f>
        <v>45977</v>
      </c>
      <c r="H402" s="1" t="str">
        <f>IFERROR(INDEX(tblAudits[Audit Type],MATCH(B402,tblAudits[Audit ID],0)),"")</f>
        <v>HVNL Management Plan</v>
      </c>
      <c r="I402" s="1" t="str">
        <f>IF(J402="","",IFERROR(INDEX(tblOrgs[Client Name],MATCH(J402,tblOrgs[Client ABN],0)),""))</f>
        <v>T. Eilbeck &amp; Son Pty Ltd</v>
      </c>
      <c r="J402" s="1">
        <f>IFERROR(INDEX(tblAudits[Client ABN],MATCH(B402,tblAudits[Audit ID],0)),"")</f>
        <v>22295128214</v>
      </c>
      <c r="K402" s="1"/>
    </row>
    <row r="403" spans="1:11" x14ac:dyDescent="0.25">
      <c r="A403" s="1" t="s">
        <v>1190</v>
      </c>
      <c r="B403" s="1" t="s">
        <v>348</v>
      </c>
      <c r="C403" s="1" t="s">
        <v>1191</v>
      </c>
      <c r="D403" s="1">
        <v>1</v>
      </c>
      <c r="E403" s="1" t="s">
        <v>525</v>
      </c>
      <c r="F403" s="4">
        <v>45618</v>
      </c>
      <c r="G403" s="4">
        <f>IF(F403="","",EDATE(F403,12)-1)</f>
        <v>45982</v>
      </c>
      <c r="H403" s="1" t="str">
        <f>IFERROR(INDEX(tblAudits[Audit Type],MATCH(B403,tblAudits[Audit ID],0)),"")</f>
        <v>HVNL Management Plan</v>
      </c>
      <c r="I403" s="1" t="str">
        <f>IF(J403="","",IFERROR(INDEX(tblOrgs[Client Name],MATCH(J403,tblOrgs[Client ABN],0)),""))</f>
        <v>Cono Services Pty Ltd</v>
      </c>
      <c r="J403" s="1">
        <f>IFERROR(INDEX(tblAudits[Client ABN],MATCH(B403,tblAudits[Audit ID],0)),"")</f>
        <v>90167205656</v>
      </c>
      <c r="K403" s="1"/>
    </row>
    <row r="404" spans="1:11" x14ac:dyDescent="0.25">
      <c r="A404" s="1" t="s">
        <v>1210</v>
      </c>
      <c r="B404" s="1" t="s">
        <v>358</v>
      </c>
      <c r="C404" s="1" t="s">
        <v>1211</v>
      </c>
      <c r="D404" s="1">
        <v>1</v>
      </c>
      <c r="E404" s="1" t="s">
        <v>525</v>
      </c>
      <c r="F404" s="4">
        <v>45598</v>
      </c>
      <c r="G404" s="4">
        <f>IF(F404="","",EDATE(F404,12)-1)</f>
        <v>45962</v>
      </c>
      <c r="H404" s="1" t="str">
        <f>IFERROR(INDEX(tblAudits[Audit Type],MATCH(B404,tblAudits[Audit ID],0)),"")</f>
        <v>HVNL Management Plan</v>
      </c>
      <c r="I404" s="1" t="str">
        <f>IF(J404="","",IFERROR(INDEX(tblOrgs[Client Name],MATCH(J404,tblOrgs[Client ABN],0)),""))</f>
        <v>Evolution Group Holdings Pty Ltd</v>
      </c>
      <c r="J404" s="1">
        <f>IFERROR(INDEX(tblAudits[Client ABN],MATCH(B404,tblAudits[Audit ID],0)),"")</f>
        <v>14147834133</v>
      </c>
      <c r="K404" s="1"/>
    </row>
    <row r="405" spans="1:11" x14ac:dyDescent="0.25">
      <c r="A405" s="1" t="s">
        <v>1298</v>
      </c>
      <c r="B405" s="1" t="s">
        <v>402</v>
      </c>
      <c r="C405" s="1" t="s">
        <v>1299</v>
      </c>
      <c r="D405" s="1">
        <v>1</v>
      </c>
      <c r="E405" s="1" t="s">
        <v>525</v>
      </c>
      <c r="F405" s="4">
        <v>45597</v>
      </c>
      <c r="G405" s="4">
        <f>IF(F405="","",EDATE(F405,12)-1)</f>
        <v>45961</v>
      </c>
      <c r="H405" s="1" t="str">
        <f>IFERROR(INDEX(tblAudits[Audit Type],MATCH(B405,tblAudits[Audit ID],0)),"")</f>
        <v>HVNL Management Plan</v>
      </c>
      <c r="I405" s="1" t="str">
        <f>IF(J405="","",IFERROR(INDEX(tblOrgs[Client Name],MATCH(J405,tblOrgs[Client ABN],0)),""))</f>
        <v>Reinforced Earth Pty Ltd</v>
      </c>
      <c r="J405" s="1">
        <f>IFERROR(INDEX(tblAudits[Client ABN],MATCH(B405,tblAudits[Audit ID],0)),"")</f>
        <v>53001215327</v>
      </c>
      <c r="K405" s="1"/>
    </row>
    <row r="406" spans="1:11" x14ac:dyDescent="0.25">
      <c r="A406" s="1" t="s">
        <v>1288</v>
      </c>
      <c r="B406" s="1" t="s">
        <v>397</v>
      </c>
      <c r="C406" s="1" t="s">
        <v>1289</v>
      </c>
      <c r="D406" s="1">
        <v>1</v>
      </c>
      <c r="E406" s="1" t="s">
        <v>525</v>
      </c>
      <c r="F406" s="4">
        <v>45625</v>
      </c>
      <c r="G406" s="4">
        <f>IF(F406="","",EDATE(F406,12)-1)</f>
        <v>45989</v>
      </c>
      <c r="H406" s="1" t="str">
        <f>IFERROR(INDEX(tblAudits[Audit Type],MATCH(B406,tblAudits[Audit ID],0)),"")</f>
        <v>HVNL Management Plan</v>
      </c>
      <c r="I406" s="1" t="str">
        <f>IF(J406="","",IFERROR(INDEX(tblOrgs[Client Name],MATCH(J406,tblOrgs[Client ABN],0)),""))</f>
        <v>RAF Civil Pty Ltd</v>
      </c>
      <c r="J406" s="1">
        <f>IFERROR(INDEX(tblAudits[Client ABN],MATCH(B406,tblAudits[Audit ID],0)),"")</f>
        <v>53623928003</v>
      </c>
      <c r="K406" s="1"/>
    </row>
    <row r="407" spans="1:11" x14ac:dyDescent="0.25">
      <c r="A407" s="1" t="s">
        <v>1138</v>
      </c>
      <c r="B407" s="1" t="s">
        <v>322</v>
      </c>
      <c r="C407" s="1" t="s">
        <v>1139</v>
      </c>
      <c r="D407" s="1">
        <v>1</v>
      </c>
      <c r="E407" s="1" t="s">
        <v>525</v>
      </c>
      <c r="F407" s="4">
        <v>45617</v>
      </c>
      <c r="G407" s="4">
        <f>IF(F407="","",EDATE(F407,12)-1)</f>
        <v>45981</v>
      </c>
      <c r="H407" s="1" t="str">
        <f>IFERROR(INDEX(tblAudits[Audit Type],MATCH(B407,tblAudits[Audit ID],0)),"")</f>
        <v>HVNL Management Plan</v>
      </c>
      <c r="I407" s="1" t="str">
        <f>IF(J407="","",IFERROR(INDEX(tblOrgs[Client Name],MATCH(J407,tblOrgs[Client ABN],0)),""))</f>
        <v>24/7 Fuels Pty Ltd</v>
      </c>
      <c r="J407" s="1">
        <f>IFERROR(INDEX(tblAudits[Client ABN],MATCH(B407,tblAudits[Audit ID],0)),"")</f>
        <v>17613791512</v>
      </c>
      <c r="K407" s="1"/>
    </row>
    <row r="408" spans="1:11" x14ac:dyDescent="0.25">
      <c r="A408" s="1" t="s">
        <v>1218</v>
      </c>
      <c r="B408" s="1" t="s">
        <v>362</v>
      </c>
      <c r="C408" s="1" t="s">
        <v>1219</v>
      </c>
      <c r="D408" s="1">
        <v>1</v>
      </c>
      <c r="E408" s="1" t="s">
        <v>525</v>
      </c>
      <c r="F408" s="4">
        <v>45639</v>
      </c>
      <c r="G408" s="4">
        <f>IF(F408="","",EDATE(F408,12)-1)</f>
        <v>46003</v>
      </c>
      <c r="H408" s="1" t="str">
        <f>IFERROR(INDEX(tblAudits[Audit Type],MATCH(B408,tblAudits[Audit ID],0)),"")</f>
        <v>HVNL Management Plan</v>
      </c>
      <c r="I408" s="1" t="str">
        <f>IF(J408="","",IFERROR(INDEX(tblOrgs[Client Name],MATCH(J408,tblOrgs[Client ABN],0)),""))</f>
        <v>Freight Movement Pty Ltd</v>
      </c>
      <c r="J408" s="1">
        <f>IFERROR(INDEX(tblAudits[Client ABN],MATCH(B408,tblAudits[Audit ID],0)),"")</f>
        <v>61130823933</v>
      </c>
      <c r="K408" s="1"/>
    </row>
    <row r="409" spans="1:11" x14ac:dyDescent="0.25">
      <c r="A409" s="1" t="s">
        <v>1226</v>
      </c>
      <c r="B409" s="1" t="s">
        <v>366</v>
      </c>
      <c r="C409" s="1" t="s">
        <v>1227</v>
      </c>
      <c r="D409" s="1">
        <v>1</v>
      </c>
      <c r="E409" s="1" t="s">
        <v>525</v>
      </c>
      <c r="F409" s="4">
        <v>45634</v>
      </c>
      <c r="G409" s="4">
        <f>IF(F409="","",EDATE(F409,12)-1)</f>
        <v>45998</v>
      </c>
      <c r="H409" s="1" t="str">
        <f>IFERROR(INDEX(tblAudits[Audit Type],MATCH(B409,tblAudits[Audit ID],0)),"")</f>
        <v>HVNL Management Plan</v>
      </c>
      <c r="I409" s="1" t="str">
        <f>IF(J409="","",IFERROR(INDEX(tblOrgs[Client Name],MATCH(J409,tblOrgs[Client ABN],0)),""))</f>
        <v>Hex Hire Pty Ltd</v>
      </c>
      <c r="J409" s="1">
        <f>IFERROR(INDEX(tblAudits[Client ABN],MATCH(B409,tblAudits[Audit ID],0)),"")</f>
        <v>74848500748</v>
      </c>
      <c r="K409" s="1"/>
    </row>
    <row r="410" spans="1:11" x14ac:dyDescent="0.25">
      <c r="A410" s="1" t="s">
        <v>1326</v>
      </c>
      <c r="B410" s="1" t="s">
        <v>416</v>
      </c>
      <c r="C410" s="1" t="s">
        <v>1327</v>
      </c>
      <c r="D410" s="1">
        <v>1</v>
      </c>
      <c r="E410" s="1" t="s">
        <v>525</v>
      </c>
      <c r="F410" s="4">
        <v>45626</v>
      </c>
      <c r="G410" s="4">
        <f>IF(F410="","",EDATE(F410,12)-1)</f>
        <v>45990</v>
      </c>
      <c r="H410" s="1" t="str">
        <f>IFERROR(INDEX(tblAudits[Audit Type],MATCH(B410,tblAudits[Audit ID],0)),"")</f>
        <v>HVNL Management Plan</v>
      </c>
      <c r="I410" s="1" t="str">
        <f>IF(J410="","",IFERROR(INDEX(tblOrgs[Client Name],MATCH(J410,tblOrgs[Client ABN],0)),""))</f>
        <v>Taylors Freight Transport Pty Ltd</v>
      </c>
      <c r="J410" s="1">
        <f>IFERROR(INDEX(tblAudits[Client ABN],MATCH(B410,tblAudits[Audit ID],0)),"")</f>
        <v>91136398126</v>
      </c>
      <c r="K410" s="1"/>
    </row>
    <row r="411" spans="1:11" x14ac:dyDescent="0.25">
      <c r="A411" s="1" t="s">
        <v>1224</v>
      </c>
      <c r="B411" s="1" t="s">
        <v>365</v>
      </c>
      <c r="C411" s="1" t="s">
        <v>1225</v>
      </c>
      <c r="D411" s="1">
        <v>1</v>
      </c>
      <c r="E411" s="1" t="s">
        <v>525</v>
      </c>
      <c r="F411" s="4">
        <v>45634</v>
      </c>
      <c r="G411" s="4">
        <f>IF(F411="","",EDATE(F411,12)-1)</f>
        <v>45998</v>
      </c>
      <c r="H411" s="1" t="str">
        <f>IFERROR(INDEX(tblAudits[Audit Type],MATCH(B411,tblAudits[Audit ID],0)),"")</f>
        <v>HVNL Management Plan</v>
      </c>
      <c r="I411" s="1" t="str">
        <f>IF(J411="","",IFERROR(INDEX(tblOrgs[Client Name],MATCH(J411,tblOrgs[Client ABN],0)),""))</f>
        <v>HDD Drilling Pty Ltd</v>
      </c>
      <c r="J411" s="1">
        <f>IFERROR(INDEX(tblAudits[Client ABN],MATCH(B411,tblAudits[Audit ID],0)),"")</f>
        <v>20654502557</v>
      </c>
      <c r="K411" s="1"/>
    </row>
    <row r="412" spans="1:11" x14ac:dyDescent="0.25">
      <c r="A412" s="1" t="s">
        <v>1296</v>
      </c>
      <c r="B412" s="1" t="s">
        <v>401</v>
      </c>
      <c r="C412" s="1" t="s">
        <v>1297</v>
      </c>
      <c r="D412" s="1">
        <v>1</v>
      </c>
      <c r="E412" s="1" t="s">
        <v>525</v>
      </c>
      <c r="F412" s="4">
        <v>45597</v>
      </c>
      <c r="G412" s="4">
        <f>IF(F412="","",EDATE(F412,12)-1)</f>
        <v>45961</v>
      </c>
      <c r="H412" s="1" t="str">
        <f>IFERROR(INDEX(tblAudits[Audit Type],MATCH(B412,tblAudits[Audit ID],0)),"")</f>
        <v>HVNL Management Plan</v>
      </c>
      <c r="I412" s="1" t="str">
        <f>IF(J412="","",IFERROR(INDEX(tblOrgs[Client Name],MATCH(J412,tblOrgs[Client ABN],0)),""))</f>
        <v>Refire Group Pty Ltd</v>
      </c>
      <c r="J412" s="1">
        <f>IFERROR(INDEX(tblAudits[Client ABN],MATCH(B412,tblAudits[Audit ID],0)),"")</f>
        <v>72633993218</v>
      </c>
      <c r="K412" s="1"/>
    </row>
    <row r="413" spans="1:11" x14ac:dyDescent="0.25">
      <c r="A413" s="1" t="s">
        <v>1242</v>
      </c>
      <c r="B413" s="1" t="s">
        <v>374</v>
      </c>
      <c r="C413" s="1" t="s">
        <v>1243</v>
      </c>
      <c r="D413" s="1">
        <v>1</v>
      </c>
      <c r="E413" s="1" t="s">
        <v>525</v>
      </c>
      <c r="F413" s="4">
        <v>45623</v>
      </c>
      <c r="G413" s="4">
        <f>IF(F413="","",EDATE(F413,12)-1)</f>
        <v>45987</v>
      </c>
      <c r="H413" s="1" t="str">
        <f>IFERROR(INDEX(tblAudits[Audit Type],MATCH(B413,tblAudits[Audit ID],0)),"")</f>
        <v>HVNL Management Plan</v>
      </c>
      <c r="I413" s="1" t="str">
        <f>IF(J413="","",IFERROR(INDEX(tblOrgs[Client Name],MATCH(J413,tblOrgs[Client ABN],0)),""))</f>
        <v>Kelko Construction Pty. Ltd</v>
      </c>
      <c r="J413" s="1">
        <f>IFERROR(INDEX(tblAudits[Client ABN],MATCH(B413,tblAudits[Audit ID],0)),"")</f>
        <v>18163328694</v>
      </c>
      <c r="K413" s="1"/>
    </row>
    <row r="414" spans="1:11" x14ac:dyDescent="0.25">
      <c r="A414" s="1" t="s">
        <v>1260</v>
      </c>
      <c r="B414" s="1" t="s">
        <v>383</v>
      </c>
      <c r="C414" s="1" t="s">
        <v>1261</v>
      </c>
      <c r="D414" s="1">
        <v>1</v>
      </c>
      <c r="E414" s="1" t="s">
        <v>525</v>
      </c>
      <c r="F414" s="4">
        <v>45395</v>
      </c>
      <c r="G414" s="4">
        <f>IF(F414="","",EDATE(F414,12)-1)</f>
        <v>45759</v>
      </c>
      <c r="H414" s="1" t="str">
        <f>IFERROR(INDEX(tblAudits[Audit Type],MATCH(B414,tblAudits[Audit ID],0)),"")</f>
        <v>HVNL Management Plan</v>
      </c>
      <c r="I414" s="1" t="str">
        <f>IF(J414="","",IFERROR(INDEX(tblOrgs[Client Name],MATCH(J414,tblOrgs[Client ABN],0)),""))</f>
        <v>Matrix Drilling Australia Pty Ltd</v>
      </c>
      <c r="J414" s="1">
        <f>IFERROR(INDEX(tblAudits[Client ABN],MATCH(B414,tblAudits[Audit ID],0)),"")</f>
        <v>65631934971</v>
      </c>
      <c r="K414" s="1"/>
    </row>
    <row r="415" spans="1:11" x14ac:dyDescent="0.25">
      <c r="A415" s="1" t="s">
        <v>1284</v>
      </c>
      <c r="B415" s="1" t="s">
        <v>395</v>
      </c>
      <c r="C415" s="1" t="s">
        <v>1285</v>
      </c>
      <c r="D415" s="1">
        <v>1</v>
      </c>
      <c r="E415" s="1" t="s">
        <v>525</v>
      </c>
      <c r="F415" s="4">
        <v>45626</v>
      </c>
      <c r="G415" s="4">
        <f>IF(F415="","",EDATE(F415,12)-1)</f>
        <v>45990</v>
      </c>
      <c r="H415" s="1" t="str">
        <f>IFERROR(INDEX(tblAudits[Audit Type],MATCH(B415,tblAudits[Audit ID],0)),"")</f>
        <v>HVNL Management Plan</v>
      </c>
      <c r="I415" s="1" t="str">
        <f>IF(J415="","",IFERROR(INDEX(tblOrgs[Client Name],MATCH(J415,tblOrgs[Client ABN],0)),""))</f>
        <v>Q Electrical Services Pty Ltd</v>
      </c>
      <c r="J415" s="1">
        <f>IFERROR(INDEX(tblAudits[Client ABN],MATCH(B415,tblAudits[Audit ID],0)),"")</f>
        <v>70068064817</v>
      </c>
      <c r="K415" s="1"/>
    </row>
    <row r="416" spans="1:11" x14ac:dyDescent="0.25">
      <c r="A416" s="1" t="s">
        <v>1464</v>
      </c>
      <c r="B416" s="1" t="s">
        <v>485</v>
      </c>
      <c r="C416" s="1" t="s">
        <v>1465</v>
      </c>
      <c r="D416" s="1">
        <v>1</v>
      </c>
      <c r="E416" s="1" t="s">
        <v>525</v>
      </c>
      <c r="F416" s="4">
        <v>45688</v>
      </c>
      <c r="G416" s="4">
        <f>IF(F416="","",EDATE(F416,12)-1)</f>
        <v>46052</v>
      </c>
      <c r="H416" s="1" t="str">
        <f>IFERROR(INDEX(tblAudits[Audit Type],MATCH(B416,tblAudits[Audit ID],0)),"")</f>
        <v>HVNL Management Plan</v>
      </c>
      <c r="I416" s="1" t="str">
        <f>IF(J416="","",IFERROR(INDEX(tblOrgs[Client Name],MATCH(J416,tblOrgs[Client ABN],0)),""))</f>
        <v>Mitchcon Pty Ltd</v>
      </c>
      <c r="J416" s="1">
        <f>IFERROR(INDEX(tblAudits[Client ABN],MATCH(B416,tblAudits[Audit ID],0)),"")</f>
        <v>82060623752</v>
      </c>
      <c r="K416" s="1"/>
    </row>
    <row r="417" spans="1:11" x14ac:dyDescent="0.25">
      <c r="A417" s="1" t="s">
        <v>1412</v>
      </c>
      <c r="B417" s="1" t="s">
        <v>459</v>
      </c>
      <c r="C417" s="1" t="s">
        <v>1413</v>
      </c>
      <c r="D417" s="1">
        <v>1</v>
      </c>
      <c r="E417" s="1" t="s">
        <v>525</v>
      </c>
      <c r="F417" s="4">
        <v>45688</v>
      </c>
      <c r="G417" s="4">
        <f>IF(F417="","",EDATE(F417,12)-1)</f>
        <v>46052</v>
      </c>
      <c r="H417" s="1" t="str">
        <f>IFERROR(INDEX(tblAudits[Audit Type],MATCH(B417,tblAudits[Audit ID],0)),"")</f>
        <v>HVNL Management Plan</v>
      </c>
      <c r="I417" s="1" t="str">
        <f>IF(J417="","",IFERROR(INDEX(tblOrgs[Client Name],MATCH(J417,tblOrgs[Client ABN],0)),""))</f>
        <v>Eire Midland Constructions Pty Ltd</v>
      </c>
      <c r="J417" s="1">
        <f>IFERROR(INDEX(tblAudits[Client ABN],MATCH(B417,tblAudits[Audit ID],0)),"")</f>
        <v>45079929687</v>
      </c>
      <c r="K417" s="1"/>
    </row>
    <row r="418" spans="1:11" x14ac:dyDescent="0.25">
      <c r="A418" s="1" t="s">
        <v>1482</v>
      </c>
      <c r="B418" s="1" t="s">
        <v>494</v>
      </c>
      <c r="C418" s="1" t="s">
        <v>1483</v>
      </c>
      <c r="D418" s="1">
        <v>1</v>
      </c>
      <c r="E418" s="1" t="s">
        <v>525</v>
      </c>
      <c r="F418" s="4">
        <v>45682</v>
      </c>
      <c r="G418" s="4">
        <f>IF(F418="","",EDATE(F418,12)-1)</f>
        <v>46046</v>
      </c>
      <c r="H418" s="1" t="str">
        <f>IFERROR(INDEX(tblAudits[Audit Type],MATCH(B418,tblAudits[Audit ID],0)),"")</f>
        <v>HVNL Management Plan</v>
      </c>
      <c r="I418" s="1" t="str">
        <f>IF(J418="","",IFERROR(INDEX(tblOrgs[Client Name],MATCH(J418,tblOrgs[Client ABN],0)),""))</f>
        <v>Rail Control Systems Australia Pty Ltd</v>
      </c>
      <c r="J418" s="1">
        <f>IFERROR(INDEX(tblAudits[Client ABN],MATCH(B418,tblAudits[Audit ID],0)),"")</f>
        <v>42137934055</v>
      </c>
      <c r="K418" s="1"/>
    </row>
    <row r="419" spans="1:11" x14ac:dyDescent="0.25">
      <c r="A419" s="1" t="s">
        <v>1522</v>
      </c>
      <c r="B419" s="1" t="s">
        <v>514</v>
      </c>
      <c r="C419" s="1" t="s">
        <v>1523</v>
      </c>
      <c r="D419" s="1">
        <v>1</v>
      </c>
      <c r="E419" s="1" t="s">
        <v>525</v>
      </c>
      <c r="F419" s="4">
        <v>45668</v>
      </c>
      <c r="G419" s="4">
        <f>IF(F419="","",EDATE(F419,12)-1)</f>
        <v>46032</v>
      </c>
      <c r="H419" s="1" t="str">
        <f>IFERROR(INDEX(tblAudits[Audit Type],MATCH(B419,tblAudits[Audit ID],0)),"")</f>
        <v>HVNL Management Plan</v>
      </c>
      <c r="I419" s="1" t="str">
        <f>IF(J419="","",IFERROR(INDEX(tblOrgs[Client Name],MATCH(J419,tblOrgs[Client ABN],0)),""))</f>
        <v>Wessel Drilling Pty Ltd</v>
      </c>
      <c r="J419" s="1">
        <f>IFERROR(INDEX(tblAudits[Client ABN],MATCH(B419,tblAudits[Audit ID],0)),"")</f>
        <v>88604544023</v>
      </c>
      <c r="K419" s="1"/>
    </row>
    <row r="420" spans="1:11" x14ac:dyDescent="0.25">
      <c r="A420" s="1" t="s">
        <v>1148</v>
      </c>
      <c r="B420" s="1" t="s">
        <v>327</v>
      </c>
      <c r="C420" s="1" t="s">
        <v>1149</v>
      </c>
      <c r="D420" s="1">
        <v>1</v>
      </c>
      <c r="E420" s="1" t="s">
        <v>525</v>
      </c>
      <c r="F420" s="4">
        <v>45644</v>
      </c>
      <c r="G420" s="4">
        <f>IF(F420="","",EDATE(F420,12)-1)</f>
        <v>46008</v>
      </c>
      <c r="H420" s="1" t="str">
        <f>IFERROR(INDEX(tblAudits[Audit Type],MATCH(B420,tblAudits[Audit ID],0)),"")</f>
        <v>HVNL Management Plan</v>
      </c>
      <c r="I420" s="1" t="str">
        <f>IF(J420="","",IFERROR(INDEX(tblOrgs[Client Name],MATCH(J420,tblOrgs[Client ABN],0)),""))</f>
        <v>Adamson Earthmovers Services Pty Ltd</v>
      </c>
      <c r="J420" s="1">
        <f>IFERROR(INDEX(tblAudits[Client ABN],MATCH(B420,tblAudits[Audit ID],0)),"")</f>
        <v>83641467558</v>
      </c>
      <c r="K420" s="1"/>
    </row>
    <row r="421" spans="1:11" x14ac:dyDescent="0.25">
      <c r="A421" s="1" t="s">
        <v>1320</v>
      </c>
      <c r="B421" s="1" t="s">
        <v>413</v>
      </c>
      <c r="C421" s="1" t="s">
        <v>1321</v>
      </c>
      <c r="D421" s="1">
        <v>1</v>
      </c>
      <c r="E421" s="1" t="s">
        <v>525</v>
      </c>
      <c r="F421" s="4">
        <v>45612</v>
      </c>
      <c r="G421" s="4">
        <f>IF(F421="","",EDATE(F421,12)-1)</f>
        <v>45976</v>
      </c>
      <c r="H421" s="1" t="str">
        <f>IFERROR(INDEX(tblAudits[Audit Type],MATCH(B421,tblAudits[Audit ID],0)),"")</f>
        <v>HVNL Management Plan</v>
      </c>
      <c r="I421" s="1" t="str">
        <f>IF(J421="","",IFERROR(INDEX(tblOrgs[Client Name],MATCH(J421,tblOrgs[Client ABN],0)),""))</f>
        <v>Symal Group Pty Ltd</v>
      </c>
      <c r="J421" s="1">
        <f>IFERROR(INDEX(tblAudits[Client ABN],MATCH(B421,tblAudits[Audit ID],0)),"")</f>
        <v>72615255466</v>
      </c>
      <c r="K421" s="1"/>
    </row>
    <row r="422" spans="1:11" x14ac:dyDescent="0.25">
      <c r="A422" s="1" t="s">
        <v>1360</v>
      </c>
      <c r="B422" s="1" t="s">
        <v>433</v>
      </c>
      <c r="C422" s="1" t="s">
        <v>1361</v>
      </c>
      <c r="D422" s="1">
        <v>1</v>
      </c>
      <c r="E422" s="1" t="s">
        <v>525</v>
      </c>
      <c r="F422" s="4">
        <v>45688</v>
      </c>
      <c r="G422" s="4">
        <f>IF(F422="","",EDATE(F422,12)-1)</f>
        <v>46052</v>
      </c>
      <c r="H422" s="1" t="str">
        <f>IFERROR(INDEX(tblAudits[Audit Type],MATCH(B422,tblAudits[Audit ID],0)),"")</f>
        <v>HVNL Management Plan</v>
      </c>
      <c r="I422" s="1" t="str">
        <f>IF(J422="","",IFERROR(INDEX(tblOrgs[Client Name],MATCH(J422,tblOrgs[Client ABN],0)),""))</f>
        <v>Alimak Group Australia Pty Ltd</v>
      </c>
      <c r="J422" s="1">
        <f>IFERROR(INDEX(tblAudits[Client ABN],MATCH(B422,tblAudits[Audit ID],0)),"")</f>
        <v>80005538947</v>
      </c>
      <c r="K422" s="1"/>
    </row>
    <row r="423" spans="1:11" x14ac:dyDescent="0.25">
      <c r="A423" s="1" t="s">
        <v>1374</v>
      </c>
      <c r="B423" s="1" t="s">
        <v>440</v>
      </c>
      <c r="C423" s="1" t="s">
        <v>1375</v>
      </c>
      <c r="D423" s="1">
        <v>1</v>
      </c>
      <c r="E423" s="1" t="s">
        <v>525</v>
      </c>
      <c r="F423" s="4">
        <v>45674</v>
      </c>
      <c r="G423" s="4">
        <f>IF(F423="","",EDATE(F423,12)-1)</f>
        <v>46038</v>
      </c>
      <c r="H423" s="1" t="str">
        <f>IFERROR(INDEX(tblAudits[Audit Type],MATCH(B423,tblAudits[Audit ID],0)),"")</f>
        <v>HVNL Management Plan</v>
      </c>
      <c r="I423" s="1" t="str">
        <f>IF(J423="","",IFERROR(INDEX(tblOrgs[Client Name],MATCH(J423,tblOrgs[Client ABN],0)),""))</f>
        <v>Australian Utilities Management Pty Ltd</v>
      </c>
      <c r="J423" s="1">
        <f>IFERROR(INDEX(tblAudits[Client ABN],MATCH(B423,tblAudits[Audit ID],0)),"")</f>
        <v>50140551104</v>
      </c>
      <c r="K423" s="1"/>
    </row>
    <row r="424" spans="1:11" x14ac:dyDescent="0.25">
      <c r="A424" s="1" t="s">
        <v>1508</v>
      </c>
      <c r="B424" s="1" t="s">
        <v>507</v>
      </c>
      <c r="C424" s="1" t="s">
        <v>1509</v>
      </c>
      <c r="D424" s="1">
        <v>1</v>
      </c>
      <c r="E424" s="1" t="s">
        <v>525</v>
      </c>
      <c r="F424" s="4">
        <v>45711</v>
      </c>
      <c r="G424" s="4">
        <f>IF(F424="","",EDATE(F424,12)-1)</f>
        <v>46075</v>
      </c>
      <c r="H424" s="1" t="str">
        <f>IFERROR(INDEX(tblAudits[Audit Type],MATCH(B424,tblAudits[Audit ID],0)),"")</f>
        <v>HVNL Management Plan</v>
      </c>
      <c r="I424" s="1" t="str">
        <f>IF(J424="","",IFERROR(INDEX(tblOrgs[Client Name],MATCH(J424,tblOrgs[Client ABN],0)),""))</f>
        <v>The Rix Group Pty Ltd</v>
      </c>
      <c r="J424" s="1">
        <f>IFERROR(INDEX(tblAudits[Client ABN],MATCH(B424,tblAudits[Audit ID],0)),"")</f>
        <v>50092239113</v>
      </c>
      <c r="K424" s="1"/>
    </row>
    <row r="425" spans="1:11" x14ac:dyDescent="0.25">
      <c r="A425" s="1" t="s">
        <v>1424</v>
      </c>
      <c r="B425" s="1" t="s">
        <v>465</v>
      </c>
      <c r="C425" s="1" t="s">
        <v>1425</v>
      </c>
      <c r="D425" s="1">
        <v>1</v>
      </c>
      <c r="E425" s="1" t="s">
        <v>525</v>
      </c>
      <c r="F425" s="4">
        <v>45714</v>
      </c>
      <c r="G425" s="4">
        <f>IF(F425="","",EDATE(F425,12)-1)</f>
        <v>46078</v>
      </c>
      <c r="H425" s="1" t="str">
        <f>IFERROR(INDEX(tblAudits[Audit Type],MATCH(B425,tblAudits[Audit ID],0)),"")</f>
        <v>HVNL Management Plan</v>
      </c>
      <c r="I425" s="1" t="str">
        <f>IF(J425="","",IFERROR(INDEX(tblOrgs[Client Name],MATCH(J425,tblOrgs[Client ABN],0)),""))</f>
        <v>Fugen Masonry Contractors (Qld) Pty Limited</v>
      </c>
      <c r="J425" s="1">
        <f>IFERROR(INDEX(tblAudits[Client ABN],MATCH(B425,tblAudits[Audit ID],0)),"")</f>
        <v>75097686130</v>
      </c>
      <c r="K425" s="1"/>
    </row>
    <row r="426" spans="1:11" x14ac:dyDescent="0.25">
      <c r="A426" s="1" t="s">
        <v>1500</v>
      </c>
      <c r="B426" s="1" t="s">
        <v>503</v>
      </c>
      <c r="C426" s="1" t="s">
        <v>1501</v>
      </c>
      <c r="D426" s="1">
        <v>1</v>
      </c>
      <c r="E426" s="1" t="s">
        <v>525</v>
      </c>
      <c r="F426" s="4">
        <v>45700</v>
      </c>
      <c r="G426" s="4">
        <f>IF(F426="","",EDATE(F426,12)-1)</f>
        <v>46064</v>
      </c>
      <c r="H426" s="1" t="str">
        <f>IFERROR(INDEX(tblAudits[Audit Type],MATCH(B426,tblAudits[Audit ID],0)),"")</f>
        <v>HVNL Management Plan</v>
      </c>
      <c r="I426" s="1" t="str">
        <f>IF(J426="","",IFERROR(INDEX(tblOrgs[Client Name],MATCH(J426,tblOrgs[Client ABN],0)),""))</f>
        <v>Suas Civil Pty Ltd</v>
      </c>
      <c r="J426" s="1">
        <f>IFERROR(INDEX(tblAudits[Client ABN],MATCH(B426,tblAudits[Audit ID],0)),"")</f>
        <v>71630275222</v>
      </c>
      <c r="K426" s="1"/>
    </row>
    <row r="427" spans="1:11" x14ac:dyDescent="0.25">
      <c r="A427" s="1" t="s">
        <v>1388</v>
      </c>
      <c r="B427" s="1" t="s">
        <v>447</v>
      </c>
      <c r="C427" s="1" t="s">
        <v>1389</v>
      </c>
      <c r="D427" s="1">
        <v>1</v>
      </c>
      <c r="E427" s="1" t="s">
        <v>525</v>
      </c>
      <c r="F427" s="4">
        <v>45698</v>
      </c>
      <c r="G427" s="4">
        <f>IF(F427="","",EDATE(F427,12)-1)</f>
        <v>46062</v>
      </c>
      <c r="H427" s="1" t="str">
        <f>IFERROR(INDEX(tblAudits[Audit Type],MATCH(B427,tblAudits[Audit ID],0)),"")</f>
        <v>HVNL Management Plan</v>
      </c>
      <c r="I427" s="1" t="str">
        <f>IF(J427="","",IFERROR(INDEX(tblOrgs[Client Name],MATCH(J427,tblOrgs[Client ABN],0)),""))</f>
        <v>Chess Engineering Pty Ltd</v>
      </c>
      <c r="J427" s="1">
        <f>IFERROR(INDEX(tblAudits[Client ABN],MATCH(B427,tblAudits[Audit ID],0)),"")</f>
        <v>37000615056</v>
      </c>
      <c r="K427" s="1"/>
    </row>
    <row r="428" spans="1:11" x14ac:dyDescent="0.25">
      <c r="A428" s="1" t="s">
        <v>1420</v>
      </c>
      <c r="B428" s="1" t="s">
        <v>463</v>
      </c>
      <c r="C428" s="1" t="s">
        <v>1421</v>
      </c>
      <c r="D428" s="1">
        <v>1</v>
      </c>
      <c r="E428" s="1" t="s">
        <v>525</v>
      </c>
      <c r="F428" s="4">
        <v>45709</v>
      </c>
      <c r="G428" s="4">
        <f>IF(F428="","",EDATE(F428,12)-1)</f>
        <v>46073</v>
      </c>
      <c r="H428" s="1" t="str">
        <f>IFERROR(INDEX(tblAudits[Audit Type],MATCH(B428,tblAudits[Audit ID],0)),"")</f>
        <v>HVNL Management Plan</v>
      </c>
      <c r="I428" s="1" t="str">
        <f>IF(J428="","",IFERROR(INDEX(tblOrgs[Client Name],MATCH(J428,tblOrgs[Client ABN],0)),""))</f>
        <v>Ferrycarrig Construction Pty Ltd</v>
      </c>
      <c r="J428" s="1">
        <f>IFERROR(INDEX(tblAudits[Client ABN],MATCH(B428,tblAudits[Audit ID],0)),"")</f>
        <v>70612915367</v>
      </c>
      <c r="K428" s="1"/>
    </row>
    <row r="429" spans="1:11" x14ac:dyDescent="0.25">
      <c r="A429" s="1" t="s">
        <v>1444</v>
      </c>
      <c r="B429" s="1" t="s">
        <v>475</v>
      </c>
      <c r="C429" s="1" t="s">
        <v>1445</v>
      </c>
      <c r="D429" s="1">
        <v>1</v>
      </c>
      <c r="E429" s="1" t="s">
        <v>525</v>
      </c>
      <c r="F429" s="4">
        <v>45713</v>
      </c>
      <c r="G429" s="4">
        <f>IF(F429="","",EDATE(F429,12)-1)</f>
        <v>46077</v>
      </c>
      <c r="H429" s="1" t="str">
        <f>IFERROR(INDEX(tblAudits[Audit Type],MATCH(B429,tblAudits[Audit ID],0)),"")</f>
        <v>HVNL Management Plan</v>
      </c>
      <c r="I429" s="1" t="str">
        <f>IF(J429="","",IFERROR(INDEX(tblOrgs[Client Name],MATCH(J429,tblOrgs[Client ABN],0)),""))</f>
        <v>Kwill Constructions Pty Ltd</v>
      </c>
      <c r="J429" s="1">
        <f>IFERROR(INDEX(tblAudits[Client ABN],MATCH(B429,tblAudits[Audit ID],0)),"")</f>
        <v>96146398478</v>
      </c>
      <c r="K429" s="1"/>
    </row>
    <row r="430" spans="1:11" x14ac:dyDescent="0.25">
      <c r="A430" s="1" t="s">
        <v>1490</v>
      </c>
      <c r="B430" s="1" t="s">
        <v>498</v>
      </c>
      <c r="C430" s="1" t="s">
        <v>1491</v>
      </c>
      <c r="D430" s="1">
        <v>1</v>
      </c>
      <c r="E430" s="1" t="s">
        <v>525</v>
      </c>
      <c r="F430" s="4">
        <v>45744</v>
      </c>
      <c r="G430" s="4">
        <f>IF(F430="","",EDATE(F430,12)-1)</f>
        <v>46108</v>
      </c>
      <c r="H430" s="1" t="str">
        <f>IFERROR(INDEX(tblAudits[Audit Type],MATCH(B430,tblAudits[Audit ID],0)),"")</f>
        <v>HVNL Management Plan</v>
      </c>
      <c r="I430" s="1" t="str">
        <f>IF(J430="","",IFERROR(INDEX(tblOrgs[Client Name],MATCH(J430,tblOrgs[Client ABN],0)),""))</f>
        <v>Seadar Contractors Pty Ltd</v>
      </c>
      <c r="J430" s="1">
        <f>IFERROR(INDEX(tblAudits[Client ABN],MATCH(B430,tblAudits[Audit ID],0)),"")</f>
        <v>52600073087</v>
      </c>
      <c r="K430" s="1"/>
    </row>
    <row r="431" spans="1:11" x14ac:dyDescent="0.25">
      <c r="A431" s="1" t="s">
        <v>1488</v>
      </c>
      <c r="B431" s="1" t="s">
        <v>497</v>
      </c>
      <c r="C431" s="1" t="s">
        <v>1489</v>
      </c>
      <c r="D431" s="1">
        <v>1</v>
      </c>
      <c r="E431" s="1" t="s">
        <v>525</v>
      </c>
      <c r="F431" s="4">
        <v>45720</v>
      </c>
      <c r="G431" s="4">
        <f>IF(F431="","",EDATE(F431,12)-1)</f>
        <v>46084</v>
      </c>
      <c r="H431" s="1" t="str">
        <f>IFERROR(INDEX(tblAudits[Audit Type],MATCH(B431,tblAudits[Audit ID],0)),"")</f>
        <v>HVNL Management Plan</v>
      </c>
      <c r="I431" s="1" t="str">
        <f>IF(J431="","",IFERROR(INDEX(tblOrgs[Client Name],MATCH(J431,tblOrgs[Client ABN],0)),""))</f>
        <v>Rojoe Pty Ltd</v>
      </c>
      <c r="J431" s="1">
        <f>IFERROR(INDEX(tblAudits[Client ABN],MATCH(B431,tblAudits[Audit ID],0)),"")</f>
        <v>38093127256</v>
      </c>
      <c r="K431" s="1"/>
    </row>
    <row r="432" spans="1:11" x14ac:dyDescent="0.25">
      <c r="A432" s="1" t="s">
        <v>1526</v>
      </c>
      <c r="B432" s="1" t="s">
        <v>516</v>
      </c>
      <c r="C432" s="1" t="s">
        <v>1527</v>
      </c>
      <c r="D432" s="1">
        <v>1</v>
      </c>
      <c r="E432" s="1" t="s">
        <v>525</v>
      </c>
      <c r="F432" s="4">
        <v>45738</v>
      </c>
      <c r="G432" s="4">
        <f>IF(F432="","",EDATE(F432,12)-1)</f>
        <v>46102</v>
      </c>
      <c r="H432" s="1" t="str">
        <f>IFERROR(INDEX(tblAudits[Audit Type],MATCH(B432,tblAudits[Audit ID],0)),"")</f>
        <v>HVNL Management Plan</v>
      </c>
      <c r="I432" s="1" t="str">
        <f>IF(J432="","",IFERROR(INDEX(tblOrgs[Client Name],MATCH(J432,tblOrgs[Client ABN],0)),""))</f>
        <v>Xtra Mile Trucking Pty Ltd</v>
      </c>
      <c r="J432" s="1">
        <f>IFERROR(INDEX(tblAudits[Client ABN],MATCH(B432,tblAudits[Audit ID],0)),"")</f>
        <v>97153464469</v>
      </c>
      <c r="K432" s="1"/>
    </row>
    <row r="433" spans="1:11" x14ac:dyDescent="0.25">
      <c r="A433" s="1" t="s">
        <v>1394</v>
      </c>
      <c r="B433" s="1" t="s">
        <v>450</v>
      </c>
      <c r="C433" s="1" t="s">
        <v>1395</v>
      </c>
      <c r="D433" s="1">
        <v>1</v>
      </c>
      <c r="E433" s="1" t="s">
        <v>525</v>
      </c>
      <c r="F433" s="4">
        <v>45720</v>
      </c>
      <c r="G433" s="4">
        <f>IF(F433="","",EDATE(F433,12)-1)</f>
        <v>46084</v>
      </c>
      <c r="H433" s="1" t="str">
        <f>IFERROR(INDEX(tblAudits[Audit Type],MATCH(B433,tblAudits[Audit ID],0)),"")</f>
        <v>HVNL Management Plan</v>
      </c>
      <c r="I433" s="1" t="str">
        <f>IF(J433="","",IFERROR(INDEX(tblOrgs[Client Name],MATCH(J433,tblOrgs[Client ABN],0)),""))</f>
        <v>Clifton Formwork (Vic) Pty Ltd</v>
      </c>
      <c r="J433" s="1">
        <f>IFERROR(INDEX(tblAudits[Client ABN],MATCH(B433,tblAudits[Audit ID],0)),"")</f>
        <v>30099948786</v>
      </c>
      <c r="K433" s="1"/>
    </row>
    <row r="434" spans="1:11" x14ac:dyDescent="0.25">
      <c r="A434" s="1" t="s">
        <v>1448</v>
      </c>
      <c r="B434" s="1" t="s">
        <v>477</v>
      </c>
      <c r="C434" s="1" t="s">
        <v>1449</v>
      </c>
      <c r="D434" s="1">
        <v>1</v>
      </c>
      <c r="E434" s="1" t="s">
        <v>525</v>
      </c>
      <c r="F434" s="4">
        <v>45757</v>
      </c>
      <c r="G434" s="4">
        <f>IF(F434="","",EDATE(F434,12)-1)</f>
        <v>46121</v>
      </c>
      <c r="H434" s="1" t="str">
        <f>IFERROR(INDEX(tblAudits[Audit Type],MATCH(B434,tblAudits[Audit ID],0)),"")</f>
        <v>HVNL Management Plan</v>
      </c>
      <c r="I434" s="1" t="str">
        <f>IF(J434="","",IFERROR(INDEX(tblOrgs[Client Name],MATCH(J434,tblOrgs[Client ABN],0)),""))</f>
        <v>Lewiston Haulage Pty Ltd</v>
      </c>
      <c r="J434" s="1">
        <f>IFERROR(INDEX(tblAudits[Client ABN],MATCH(B434,tblAudits[Audit ID],0)),"")</f>
        <v>33631206178</v>
      </c>
      <c r="K434" s="1"/>
    </row>
    <row r="435" spans="1:11" x14ac:dyDescent="0.25">
      <c r="A435" s="1" t="s">
        <v>1376</v>
      </c>
      <c r="B435" s="1" t="s">
        <v>441</v>
      </c>
      <c r="C435" s="1" t="s">
        <v>1377</v>
      </c>
      <c r="D435" s="1">
        <v>1</v>
      </c>
      <c r="E435" s="1" t="s">
        <v>525</v>
      </c>
      <c r="F435" s="4">
        <v>45741</v>
      </c>
      <c r="G435" s="4">
        <f>IF(F435="","",EDATE(F435,12)-1)</f>
        <v>46105</v>
      </c>
      <c r="H435" s="1" t="str">
        <f>IFERROR(INDEX(tblAudits[Audit Type],MATCH(B435,tblAudits[Audit ID],0)),"")</f>
        <v>HVNL Management Plan</v>
      </c>
      <c r="I435" s="1" t="str">
        <f>IF(J435="","",IFERROR(INDEX(tblOrgs[Client Name],MATCH(J435,tblOrgs[Client ABN],0)),""))</f>
        <v>Avopiling Services (NSW) Pty Ltd</v>
      </c>
      <c r="J435" s="1">
        <f>IFERROR(INDEX(tblAudits[Client ABN],MATCH(B435,tblAudits[Audit ID],0)),"")</f>
        <v>11165683349</v>
      </c>
      <c r="K435" s="1"/>
    </row>
    <row r="436" spans="1:11" x14ac:dyDescent="0.25">
      <c r="A436" s="1" t="s">
        <v>1496</v>
      </c>
      <c r="B436" s="1" t="s">
        <v>501</v>
      </c>
      <c r="C436" s="1" t="s">
        <v>1497</v>
      </c>
      <c r="D436" s="1">
        <v>1</v>
      </c>
      <c r="E436" s="1" t="s">
        <v>525</v>
      </c>
      <c r="F436" s="4">
        <v>45761</v>
      </c>
      <c r="G436" s="4">
        <f>IF(F436="","",EDATE(F436,12)-1)</f>
        <v>46125</v>
      </c>
      <c r="H436" s="1" t="str">
        <f>IFERROR(INDEX(tblAudits[Audit Type],MATCH(B436,tblAudits[Audit ID],0)),"")</f>
        <v>HVNL Management Plan</v>
      </c>
      <c r="I436" s="1" t="str">
        <f>IF(J436="","",IFERROR(INDEX(tblOrgs[Client Name],MATCH(J436,tblOrgs[Client ABN],0)),""))</f>
        <v>Slaney Excavations Pty Ltd</v>
      </c>
      <c r="J436" s="1">
        <f>IFERROR(INDEX(tblAudits[Client ABN],MATCH(B436,tblAudits[Audit ID],0)),"")</f>
        <v>76169837316</v>
      </c>
      <c r="K436" s="1"/>
    </row>
    <row r="437" spans="1:11" x14ac:dyDescent="0.25">
      <c r="A437" s="1" t="s">
        <v>1530</v>
      </c>
      <c r="B437" s="1" t="s">
        <v>518</v>
      </c>
      <c r="C437" s="1" t="s">
        <v>1531</v>
      </c>
      <c r="D437" s="1">
        <v>1</v>
      </c>
      <c r="E437" s="1" t="s">
        <v>525</v>
      </c>
      <c r="F437" s="4">
        <v>45769</v>
      </c>
      <c r="G437" s="4">
        <f>IF(F437="","",EDATE(F437,12)-1)</f>
        <v>46133</v>
      </c>
      <c r="H437" s="1" t="str">
        <f>IFERROR(INDEX(tblAudits[Audit Type],MATCH(B437,tblAudits[Audit ID],0)),"")</f>
        <v>WHS Management System</v>
      </c>
      <c r="I437" s="1" t="str">
        <f>IF(J437="","",IFERROR(INDEX(tblOrgs[Client Name],MATCH(J437,tblOrgs[Client ABN],0)),""))</f>
        <v>Slaney Excavations Pty Ltd</v>
      </c>
      <c r="J437" s="1">
        <f>IFERROR(INDEX(tblAudits[Client ABN],MATCH(B437,tblAudits[Audit ID],0)),"")</f>
        <v>76169837316</v>
      </c>
      <c r="K437" s="1"/>
    </row>
    <row r="438" spans="1:11" x14ac:dyDescent="0.25">
      <c r="A438" s="1" t="s">
        <v>1446</v>
      </c>
      <c r="B438" s="1" t="s">
        <v>476</v>
      </c>
      <c r="C438" s="1" t="s">
        <v>1447</v>
      </c>
      <c r="D438" s="1">
        <v>1</v>
      </c>
      <c r="E438" s="1" t="s">
        <v>525</v>
      </c>
      <c r="F438" s="4">
        <v>45757</v>
      </c>
      <c r="G438" s="4">
        <f>IF(F438="","",EDATE(F438,12)-1)</f>
        <v>46121</v>
      </c>
      <c r="H438" s="1" t="str">
        <f>IFERROR(INDEX(tblAudits[Audit Type],MATCH(B438,tblAudits[Audit ID],0)),"")</f>
        <v>HVNL Management Plan</v>
      </c>
      <c r="I438" s="1" t="str">
        <f>IF(J438="","",IFERROR(INDEX(tblOrgs[Client Name],MATCH(J438,tblOrgs[Client ABN],0)),""))</f>
        <v>Lewiston Haulage Pty Ltd</v>
      </c>
      <c r="J438" s="1">
        <f>IFERROR(INDEX(tblAudits[Client ABN],MATCH(B438,tblAudits[Audit ID],0)),"")</f>
        <v>33631206178</v>
      </c>
      <c r="K438" s="1"/>
    </row>
    <row r="439" spans="1:11" x14ac:dyDescent="0.25">
      <c r="A439" s="1" t="s">
        <v>1410</v>
      </c>
      <c r="B439" s="1" t="s">
        <v>458</v>
      </c>
      <c r="C439" s="1" t="s">
        <v>1411</v>
      </c>
      <c r="D439" s="1">
        <v>1</v>
      </c>
      <c r="E439" s="1" t="s">
        <v>525</v>
      </c>
      <c r="F439" s="4">
        <v>45747</v>
      </c>
      <c r="G439" s="4">
        <f>IF(F439="","",EDATE(F439,12)-1)</f>
        <v>46111</v>
      </c>
      <c r="H439" s="1" t="str">
        <f>IFERROR(INDEX(tblAudits[Audit Type],MATCH(B439,tblAudits[Audit ID],0)),"")</f>
        <v>HVNL Management Plan</v>
      </c>
      <c r="I439" s="1" t="str">
        <f>IF(J439="","",IFERROR(INDEX(tblOrgs[Client Name],MATCH(J439,tblOrgs[Client ABN],0)),""))</f>
        <v>Egans Plant Hire Pty Ltd</v>
      </c>
      <c r="J439" s="1">
        <f>IFERROR(INDEX(tblAudits[Client ABN],MATCH(B439,tblAudits[Audit ID],0)),"")</f>
        <v>50077737396</v>
      </c>
      <c r="K439" s="1"/>
    </row>
    <row r="440" spans="1:11" x14ac:dyDescent="0.25">
      <c r="A440" s="1" t="s">
        <v>1474</v>
      </c>
      <c r="B440" s="1" t="s">
        <v>490</v>
      </c>
      <c r="C440" s="1" t="s">
        <v>1475</v>
      </c>
      <c r="D440" s="1">
        <v>1</v>
      </c>
      <c r="E440" s="1" t="s">
        <v>525</v>
      </c>
      <c r="F440" s="4">
        <v>45768</v>
      </c>
      <c r="G440" s="4">
        <f>IF(F440="","",EDATE(F440,12)-1)</f>
        <v>46132</v>
      </c>
      <c r="H440" s="1" t="str">
        <f>IFERROR(INDEX(tblAudits[Audit Type],MATCH(B440,tblAudits[Audit ID],0)),"")</f>
        <v>HVNL Management Plan</v>
      </c>
      <c r="I440" s="1" t="str">
        <f>IF(J440="","",IFERROR(INDEX(tblOrgs[Client Name],MATCH(J440,tblOrgs[Client ABN],0)),""))</f>
        <v>Outrite Hire &amp; Sales Pty Ltd</v>
      </c>
      <c r="J440" s="1">
        <f>IFERROR(INDEX(tblAudits[Client ABN],MATCH(B440,tblAudits[Audit ID],0)),"")</f>
        <v>59632942584</v>
      </c>
      <c r="K440" s="1"/>
    </row>
    <row r="441" spans="1:11" x14ac:dyDescent="0.25">
      <c r="A441" s="1" t="s">
        <v>1502</v>
      </c>
      <c r="B441" s="1" t="s">
        <v>504</v>
      </c>
      <c r="C441" s="1" t="s">
        <v>1503</v>
      </c>
      <c r="D441" s="1">
        <v>1</v>
      </c>
      <c r="E441" s="1" t="s">
        <v>525</v>
      </c>
      <c r="F441" s="4">
        <v>45759</v>
      </c>
      <c r="G441" s="4">
        <f>IF(F441="","",EDATE(F441,12)-1)</f>
        <v>46123</v>
      </c>
      <c r="H441" s="1" t="str">
        <f>IFERROR(INDEX(tblAudits[Audit Type],MATCH(B441,tblAudits[Audit ID],0)),"")</f>
        <v>HVNL Management Plan</v>
      </c>
      <c r="I441" s="1" t="str">
        <f>IF(J441="","",IFERROR(INDEX(tblOrgs[Client Name],MATCH(J441,tblOrgs[Client ABN],0)),""))</f>
        <v>T &amp; M Southern Cranes Pty Ltd</v>
      </c>
      <c r="J441" s="1">
        <f>IFERROR(INDEX(tblAudits[Client ABN],MATCH(B441,tblAudits[Audit ID],0)),"")</f>
        <v>99006697338</v>
      </c>
      <c r="K441" s="1"/>
    </row>
    <row r="442" spans="1:11" x14ac:dyDescent="0.25">
      <c r="A442" s="1" t="s">
        <v>1414</v>
      </c>
      <c r="B442" s="1" t="s">
        <v>460</v>
      </c>
      <c r="C442" s="1" t="s">
        <v>1415</v>
      </c>
      <c r="D442" s="1">
        <v>1</v>
      </c>
      <c r="E442" s="1" t="s">
        <v>525</v>
      </c>
      <c r="F442" s="4">
        <v>45770</v>
      </c>
      <c r="G442" s="4">
        <f>IF(F442="","",EDATE(F442,12)-1)</f>
        <v>46134</v>
      </c>
      <c r="H442" s="1" t="str">
        <f>IFERROR(INDEX(tblAudits[Audit Type],MATCH(B442,tblAudits[Audit ID],0)),"")</f>
        <v>HVNL Management Plan</v>
      </c>
      <c r="I442" s="1" t="str">
        <f>IF(J442="","",IFERROR(INDEX(tblOrgs[Client Name],MATCH(J442,tblOrgs[Client ABN],0)),""))</f>
        <v>ENCO Precast Pty Ltd</v>
      </c>
      <c r="J442" s="1">
        <f>IFERROR(INDEX(tblAudits[Client ABN],MATCH(B442,tblAudits[Audit ID],0)),"")</f>
        <v>56072772037</v>
      </c>
      <c r="K442" s="1"/>
    </row>
    <row r="443" spans="1:11" x14ac:dyDescent="0.25">
      <c r="A443" s="1" t="s">
        <v>1402</v>
      </c>
      <c r="B443" s="1" t="s">
        <v>454</v>
      </c>
      <c r="C443" s="1" t="s">
        <v>1403</v>
      </c>
      <c r="D443" s="1">
        <v>1</v>
      </c>
      <c r="E443" s="1" t="s">
        <v>525</v>
      </c>
      <c r="F443" s="4">
        <v>45770</v>
      </c>
      <c r="G443" s="4">
        <f>IF(F443="","",EDATE(F443,12)-1)</f>
        <v>46134</v>
      </c>
      <c r="H443" s="1" t="str">
        <f>IFERROR(INDEX(tblAudits[Audit Type],MATCH(B443,tblAudits[Audit ID],0)),"")</f>
        <v>HVNL Management Plan</v>
      </c>
      <c r="I443" s="1" t="str">
        <f>IF(J443="","",IFERROR(INDEX(tblOrgs[Client Name],MATCH(J443,tblOrgs[Client ABN],0)),""))</f>
        <v>Cubis Systems Australia Pty Ltd</v>
      </c>
      <c r="J443" s="1">
        <f>IFERROR(INDEX(tblAudits[Client ABN],MATCH(B443,tblAudits[Audit ID],0)),"")</f>
        <v>88108718350</v>
      </c>
      <c r="K443" s="1"/>
    </row>
    <row r="444" spans="1:11" x14ac:dyDescent="0.25">
      <c r="A444" s="1" t="s">
        <v>1392</v>
      </c>
      <c r="B444" s="1" t="s">
        <v>449</v>
      </c>
      <c r="C444" s="1" t="s">
        <v>1393</v>
      </c>
      <c r="D444" s="1">
        <v>1</v>
      </c>
      <c r="E444" s="1" t="s">
        <v>525</v>
      </c>
      <c r="F444" s="4">
        <v>45767</v>
      </c>
      <c r="G444" s="4">
        <f>IF(F444="","",EDATE(F444,12)-1)</f>
        <v>46131</v>
      </c>
      <c r="H444" s="1" t="str">
        <f>IFERROR(INDEX(tblAudits[Audit Type],MATCH(B444,tblAudits[Audit ID],0)),"")</f>
        <v>HVNL Management Plan</v>
      </c>
      <c r="I444" s="1" t="str">
        <f>IF(J444="","",IFERROR(INDEX(tblOrgs[Client Name],MATCH(J444,tblOrgs[Client ABN],0)),""))</f>
        <v>Civx Pty Ltd</v>
      </c>
      <c r="J444" s="1">
        <f>IFERROR(INDEX(tblAudits[Client ABN],MATCH(B444,tblAudits[Audit ID],0)),"")</f>
        <v>53603953019</v>
      </c>
      <c r="K444" s="1"/>
    </row>
    <row r="445" spans="1:11" x14ac:dyDescent="0.25">
      <c r="A445" s="1" t="s">
        <v>1462</v>
      </c>
      <c r="B445" s="1" t="s">
        <v>484</v>
      </c>
      <c r="C445" s="1" t="s">
        <v>1463</v>
      </c>
      <c r="D445" s="1">
        <v>1</v>
      </c>
      <c r="E445" s="1" t="s">
        <v>525</v>
      </c>
      <c r="F445" s="4">
        <v>45760</v>
      </c>
      <c r="G445" s="4">
        <f>IF(F445="","",EDATE(F445,12)-1)</f>
        <v>46124</v>
      </c>
      <c r="H445" s="1" t="str">
        <f>IFERROR(INDEX(tblAudits[Audit Type],MATCH(B445,tblAudits[Audit ID],0)),"")</f>
        <v>HVNL Management Plan</v>
      </c>
      <c r="I445" s="1" t="str">
        <f>IF(J445="","",IFERROR(INDEX(tblOrgs[Client Name],MATCH(J445,tblOrgs[Client ABN],0)),""))</f>
        <v>Matrix Drilling Australia Pty Ltd</v>
      </c>
      <c r="J445" s="1">
        <f>IFERROR(INDEX(tblAudits[Client ABN],MATCH(B445,tblAudits[Audit ID],0)),"")</f>
        <v>65631934971</v>
      </c>
      <c r="K445" s="1"/>
    </row>
    <row r="446" spans="1:11" x14ac:dyDescent="0.25">
      <c r="A446" s="1" t="s">
        <v>1358</v>
      </c>
      <c r="B446" s="1" t="s">
        <v>432</v>
      </c>
      <c r="C446" s="1" t="s">
        <v>1359</v>
      </c>
      <c r="D446" s="1">
        <v>1</v>
      </c>
      <c r="E446" s="1" t="s">
        <v>525</v>
      </c>
      <c r="F446" s="4">
        <v>45799</v>
      </c>
      <c r="G446" s="4">
        <f>IF(F446="","",EDATE(F446,12)-1)</f>
        <v>46163</v>
      </c>
      <c r="H446" s="1" t="str">
        <f>IFERROR(INDEX(tblAudits[Audit Type],MATCH(B446,tblAudits[Audit ID],0)),"")</f>
        <v>HVNL Management Plan</v>
      </c>
      <c r="I446" s="1" t="str">
        <f>IF(J446="","",IFERROR(INDEX(tblOrgs[Client Name],MATCH(J446,tblOrgs[Client ABN],0)),""))</f>
        <v>A C Whalan &amp; Co Pty Ltd</v>
      </c>
      <c r="J446" s="1">
        <f>IFERROR(INDEX(tblAudits[Client ABN],MATCH(B446,tblAudits[Audit ID],0)),"")</f>
        <v>90003499849</v>
      </c>
      <c r="K446" s="1"/>
    </row>
    <row r="447" spans="1:11" x14ac:dyDescent="0.25">
      <c r="A447" s="1" t="s">
        <v>1378</v>
      </c>
      <c r="B447" s="1" t="s">
        <v>442</v>
      </c>
      <c r="C447" s="1" t="s">
        <v>1379</v>
      </c>
      <c r="D447" s="1">
        <v>1</v>
      </c>
      <c r="E447" s="1" t="s">
        <v>525</v>
      </c>
      <c r="F447" s="4">
        <v>45786</v>
      </c>
      <c r="G447" s="4">
        <f>IF(F447="","",EDATE(F447,12)-1)</f>
        <v>46150</v>
      </c>
      <c r="H447" s="1" t="str">
        <f>IFERROR(INDEX(tblAudits[Audit Type],MATCH(B447,tblAudits[Audit ID],0)),"")</f>
        <v>HVNL Management Plan</v>
      </c>
      <c r="I447" s="1" t="str">
        <f>IF(J447="","",IFERROR(INDEX(tblOrgs[Client Name],MATCH(J447,tblOrgs[Client ABN],0)),""))</f>
        <v>Baren Projects Pty Ltd</v>
      </c>
      <c r="J447" s="1">
        <f>IFERROR(INDEX(tblAudits[Client ABN],MATCH(B447,tblAudits[Audit ID],0)),"")</f>
        <v>60661051565</v>
      </c>
      <c r="K447" s="1"/>
    </row>
    <row r="448" spans="1:11" x14ac:dyDescent="0.25">
      <c r="A448" s="1" t="s">
        <v>1524</v>
      </c>
      <c r="B448" s="1" t="s">
        <v>515</v>
      </c>
      <c r="C448" s="1" t="s">
        <v>1525</v>
      </c>
      <c r="D448" s="1">
        <v>1</v>
      </c>
      <c r="E448" s="1" t="s">
        <v>525</v>
      </c>
      <c r="F448" s="4">
        <v>45787</v>
      </c>
      <c r="G448" s="4">
        <f>IF(F448="","",EDATE(F448,12)-1)</f>
        <v>46151</v>
      </c>
      <c r="H448" s="1" t="str">
        <f>IFERROR(INDEX(tblAudits[Audit Type],MATCH(B448,tblAudits[Audit ID],0)),"")</f>
        <v>HVNL Management Plan</v>
      </c>
      <c r="I448" s="1" t="str">
        <f>IF(J448="","",IFERROR(INDEX(tblOrgs[Client Name],MATCH(J448,tblOrgs[Client ABN],0)),""))</f>
        <v>Westkon Precast Pty Ltd</v>
      </c>
      <c r="J448" s="1">
        <f>IFERROR(INDEX(tblAudits[Client ABN],MATCH(B448,tblAudits[Audit ID],0)),"")</f>
        <v>92107423156</v>
      </c>
      <c r="K448" s="1"/>
    </row>
    <row r="449" spans="1:11" x14ac:dyDescent="0.25">
      <c r="A449" s="1" t="s">
        <v>1386</v>
      </c>
      <c r="B449" s="1" t="s">
        <v>446</v>
      </c>
      <c r="C449" s="1" t="s">
        <v>1387</v>
      </c>
      <c r="D449" s="1">
        <v>1</v>
      </c>
      <c r="E449" s="1" t="s">
        <v>525</v>
      </c>
      <c r="F449" s="4">
        <v>45790</v>
      </c>
      <c r="G449" s="4">
        <f>IF(F449="","",EDATE(F449,12)-1)</f>
        <v>46154</v>
      </c>
      <c r="H449" s="1" t="str">
        <f>IFERROR(INDEX(tblAudits[Audit Type],MATCH(B449,tblAudits[Audit ID],0)),"")</f>
        <v>HVNL Management Plan</v>
      </c>
      <c r="I449" s="1" t="str">
        <f>IF(J449="","",IFERROR(INDEX(tblOrgs[Client Name],MATCH(J449,tblOrgs[Client ABN],0)),""))</f>
        <v>Bryco Civil Construction Pty Ltd</v>
      </c>
      <c r="J449" s="1">
        <f>IFERROR(INDEX(tblAudits[Client ABN],MATCH(B449,tblAudits[Audit ID],0)),"")</f>
        <v>67642143324</v>
      </c>
      <c r="K449" s="1"/>
    </row>
    <row r="450" spans="1:11" x14ac:dyDescent="0.25">
      <c r="A450" s="1" t="s">
        <v>1484</v>
      </c>
      <c r="B450" s="1" t="s">
        <v>495</v>
      </c>
      <c r="C450" s="1" t="s">
        <v>1485</v>
      </c>
      <c r="D450" s="1">
        <v>1</v>
      </c>
      <c r="E450" s="1" t="s">
        <v>525</v>
      </c>
      <c r="F450" s="4">
        <v>45783</v>
      </c>
      <c r="G450" s="4">
        <f>IF(F450="","",EDATE(F450,12)-1)</f>
        <v>46147</v>
      </c>
      <c r="H450" s="1" t="str">
        <f>IFERROR(INDEX(tblAudits[Audit Type],MATCH(B450,tblAudits[Audit ID],0)),"")</f>
        <v>HVNL Management Plan</v>
      </c>
      <c r="I450" s="1" t="str">
        <f>IF(J450="","",IFERROR(INDEX(tblOrgs[Client Name],MATCH(J450,tblOrgs[Client ABN],0)),""))</f>
        <v>Rapidcrete Pty Ltd</v>
      </c>
      <c r="J450" s="1">
        <f>IFERROR(INDEX(tblAudits[Client ABN],MATCH(B450,tblAudits[Audit ID],0)),"")</f>
        <v>53104620322</v>
      </c>
      <c r="K450" s="1"/>
    </row>
    <row r="451" spans="1:11" x14ac:dyDescent="0.25">
      <c r="A451" s="1" t="s">
        <v>1472</v>
      </c>
      <c r="B451" s="1" t="s">
        <v>489</v>
      </c>
      <c r="C451" s="1" t="s">
        <v>1473</v>
      </c>
      <c r="D451" s="1">
        <v>1</v>
      </c>
      <c r="E451" s="1" t="s">
        <v>525</v>
      </c>
      <c r="F451" s="4">
        <v>45812</v>
      </c>
      <c r="G451" s="4">
        <f>IF(F451="","",EDATE(F451,12)-1)</f>
        <v>46176</v>
      </c>
      <c r="H451" s="1" t="str">
        <f>IFERROR(INDEX(tblAudits[Audit Type],MATCH(B451,tblAudits[Audit ID],0)),"")</f>
        <v>HVNL Management Plan</v>
      </c>
      <c r="I451" s="1" t="str">
        <f>IF(J451="","",IFERROR(INDEX(tblOrgs[Client Name],MATCH(J451,tblOrgs[Client ABN],0)),""))</f>
        <v>Norcon Slipforming Pty Ltd</v>
      </c>
      <c r="J451" s="1">
        <f>IFERROR(INDEX(tblAudits[Client ABN],MATCH(B451,tblAudits[Audit ID],0)),"")</f>
        <v>41638942131</v>
      </c>
      <c r="K451" s="1"/>
    </row>
    <row r="452" spans="1:11" x14ac:dyDescent="0.25">
      <c r="A452" s="1" t="s">
        <v>1434</v>
      </c>
      <c r="B452" s="1" t="s">
        <v>470</v>
      </c>
      <c r="C452" s="1" t="s">
        <v>1435</v>
      </c>
      <c r="D452" s="1">
        <v>1</v>
      </c>
      <c r="E452" s="1" t="s">
        <v>525</v>
      </c>
      <c r="F452" s="4">
        <v>45815</v>
      </c>
      <c r="G452" s="4">
        <f>IF(F452="","",EDATE(F452,12)-1)</f>
        <v>46179</v>
      </c>
      <c r="H452" s="1" t="str">
        <f>IFERROR(INDEX(tblAudits[Audit Type],MATCH(B452,tblAudits[Audit ID],0)),"")</f>
        <v>HVNL Management Plan</v>
      </c>
      <c r="I452" s="1" t="str">
        <f>IF(J452="","",IFERROR(INDEX(tblOrgs[Client Name],MATCH(J452,tblOrgs[Client ABN],0)),""))</f>
        <v>Holcim (Australia) Pty Ltd</v>
      </c>
      <c r="J452" s="1">
        <f>IFERROR(INDEX(tblAudits[Client ABN],MATCH(B452,tblAudits[Audit ID],0)),"")</f>
        <v>87099732297</v>
      </c>
      <c r="K452" s="1"/>
    </row>
    <row r="453" spans="1:11" x14ac:dyDescent="0.25">
      <c r="A453" s="1" t="s">
        <v>1436</v>
      </c>
      <c r="B453" s="1" t="s">
        <v>471</v>
      </c>
      <c r="C453" s="1" t="s">
        <v>1437</v>
      </c>
      <c r="D453" s="1">
        <v>1</v>
      </c>
      <c r="E453" s="1" t="s">
        <v>525</v>
      </c>
      <c r="F453" s="4">
        <v>45813</v>
      </c>
      <c r="G453" s="4">
        <f>IF(F453="","",EDATE(F453,12)-1)</f>
        <v>46177</v>
      </c>
      <c r="H453" s="1" t="str">
        <f>IFERROR(INDEX(tblAudits[Audit Type],MATCH(B453,tblAudits[Audit ID],0)),"")</f>
        <v>HVNL Management Plan</v>
      </c>
      <c r="I453" s="1" t="str">
        <f>IF(J453="","",IFERROR(INDEX(tblOrgs[Client Name],MATCH(J453,tblOrgs[Client ABN],0)),""))</f>
        <v>Image Linemarking Pty Ltd</v>
      </c>
      <c r="J453" s="1">
        <f>IFERROR(INDEX(tblAudits[Client ABN],MATCH(B453,tblAudits[Audit ID],0)),"")</f>
        <v>15082074708</v>
      </c>
      <c r="K453" s="1"/>
    </row>
    <row r="454" spans="1:11" x14ac:dyDescent="0.25">
      <c r="A454" s="1" t="s">
        <v>1390</v>
      </c>
      <c r="B454" s="1" t="s">
        <v>448</v>
      </c>
      <c r="C454" s="1" t="s">
        <v>1391</v>
      </c>
      <c r="D454" s="1">
        <v>1</v>
      </c>
      <c r="E454" s="1" t="s">
        <v>525</v>
      </c>
      <c r="F454" s="4">
        <v>45817</v>
      </c>
      <c r="G454" s="4">
        <f>IF(F454="","",EDATE(F454,12)-1)</f>
        <v>46181</v>
      </c>
      <c r="H454" s="1" t="str">
        <f>IFERROR(INDEX(tblAudits[Audit Type],MATCH(B454,tblAudits[Audit ID],0)),"")</f>
        <v>HVNL Management Plan</v>
      </c>
      <c r="I454" s="1" t="str">
        <f>IF(J454="","",IFERROR(INDEX(tblOrgs[Client Name],MATCH(J454,tblOrgs[Client ABN],0)),""))</f>
        <v>Cirtex Industries Pty Ltd</v>
      </c>
      <c r="J454" s="1">
        <f>IFERROR(INDEX(tblAudits[Client ABN],MATCH(B454,tblAudits[Audit ID],0)),"")</f>
        <v>46650016872</v>
      </c>
      <c r="K454" s="1"/>
    </row>
    <row r="455" spans="1:11" x14ac:dyDescent="0.25">
      <c r="A455" s="1" t="s">
        <v>1450</v>
      </c>
      <c r="B455" s="1" t="s">
        <v>478</v>
      </c>
      <c r="C455" s="1" t="s">
        <v>1451</v>
      </c>
      <c r="D455" s="1">
        <v>1</v>
      </c>
      <c r="E455" s="1" t="s">
        <v>525</v>
      </c>
      <c r="F455" s="4">
        <v>45819</v>
      </c>
      <c r="G455" s="4">
        <f>IF(F455="","",EDATE(F455,12)-1)</f>
        <v>46183</v>
      </c>
      <c r="H455" s="1" t="str">
        <f>IFERROR(INDEX(tblAudits[Audit Type],MATCH(B455,tblAudits[Audit ID],0)),"")</f>
        <v>HVNL Management Plan</v>
      </c>
      <c r="I455" s="1" t="str">
        <f>IF(J455="","",IFERROR(INDEX(tblOrgs[Client Name],MATCH(J455,tblOrgs[Client ABN],0)),""))</f>
        <v>Lift Logistics &amp; Transport Pty Ltd</v>
      </c>
      <c r="J455" s="1">
        <f>IFERROR(INDEX(tblAudits[Client ABN],MATCH(B455,tblAudits[Audit ID],0)),"")</f>
        <v>46767068752</v>
      </c>
      <c r="K455" s="1"/>
    </row>
    <row r="456" spans="1:11" x14ac:dyDescent="0.25">
      <c r="A456" s="1" t="s">
        <v>1452</v>
      </c>
      <c r="B456" s="1" t="s">
        <v>479</v>
      </c>
      <c r="C456" s="1" t="s">
        <v>1453</v>
      </c>
      <c r="D456" s="1">
        <v>1</v>
      </c>
      <c r="E456" s="1" t="s">
        <v>525</v>
      </c>
      <c r="F456" s="4">
        <v>45832</v>
      </c>
      <c r="G456" s="4">
        <f>IF(F456="","",EDATE(F456,12)-1)</f>
        <v>46196</v>
      </c>
      <c r="H456" s="1" t="str">
        <f>IFERROR(INDEX(tblAudits[Audit Type],MATCH(B456,tblAudits[Audit ID],0)),"")</f>
        <v>HVNL Management Plan</v>
      </c>
      <c r="I456" s="1" t="str">
        <f>IF(J456="","",IFERROR(INDEX(tblOrgs[Client Name],MATCH(J456,tblOrgs[Client ABN],0)),""))</f>
        <v>Loader Vac Solutions</v>
      </c>
      <c r="J456" s="1">
        <f>IFERROR(INDEX(tblAudits[Client ABN],MATCH(B456,tblAudits[Audit ID],0)),"")</f>
        <v>91134733808</v>
      </c>
      <c r="K456" s="1"/>
    </row>
    <row r="457" spans="1:11" x14ac:dyDescent="0.25">
      <c r="A457" s="1" t="s">
        <v>1470</v>
      </c>
      <c r="B457" s="1" t="s">
        <v>488</v>
      </c>
      <c r="C457" s="1" t="s">
        <v>1471</v>
      </c>
      <c r="D457" s="1">
        <v>1</v>
      </c>
      <c r="E457" s="1" t="s">
        <v>525</v>
      </c>
      <c r="F457" s="4">
        <v>45825</v>
      </c>
      <c r="G457" s="4">
        <f>IF(F457="","",EDATE(F457,12)-1)</f>
        <v>46189</v>
      </c>
      <c r="H457" s="1" t="str">
        <f>IFERROR(INDEX(tblAudits[Audit Type],MATCH(B457,tblAudits[Audit ID],0)),"")</f>
        <v>HVNL Management Plan</v>
      </c>
      <c r="I457" s="1" t="str">
        <f>IF(J457="","",IFERROR(INDEX(tblOrgs[Client Name],MATCH(J457,tblOrgs[Client ABN],0)),""))</f>
        <v>Nasi Pty Ltd</v>
      </c>
      <c r="J457" s="1">
        <f>IFERROR(INDEX(tblAudits[Client ABN],MATCH(B457,tblAudits[Audit ID],0)),"")</f>
        <v>41609980726</v>
      </c>
      <c r="K457" s="1"/>
    </row>
    <row r="458" spans="1:11" x14ac:dyDescent="0.25">
      <c r="A458" s="1" t="s">
        <v>1426</v>
      </c>
      <c r="B458" s="1" t="s">
        <v>466</v>
      </c>
      <c r="C458" s="1" t="s">
        <v>1427</v>
      </c>
      <c r="D458" s="1">
        <v>1</v>
      </c>
      <c r="E458" s="1" t="s">
        <v>525</v>
      </c>
      <c r="F458" s="4">
        <v>45852</v>
      </c>
      <c r="G458" s="4">
        <f>IF(F458="","",EDATE(F458,12)-1)</f>
        <v>46216</v>
      </c>
      <c r="H458" s="1" t="str">
        <f>IFERROR(INDEX(tblAudits[Audit Type],MATCH(B458,tblAudits[Audit ID],0)),"")</f>
        <v>HVNL Management Plan</v>
      </c>
      <c r="I458" s="1" t="str">
        <f>IF(J458="","",IFERROR(INDEX(tblOrgs[Client Name],MATCH(J458,tblOrgs[Client ABN],0)),""))</f>
        <v>GVP Fabricators Pty Ltd</v>
      </c>
      <c r="J458" s="1">
        <f>IFERROR(INDEX(tblAudits[Client ABN],MATCH(B458,tblAudits[Audit ID],0)),"")</f>
        <v>59082132394</v>
      </c>
      <c r="K458" s="1"/>
    </row>
    <row r="459" spans="1:11" x14ac:dyDescent="0.25">
      <c r="A459" s="1" t="s">
        <v>1478</v>
      </c>
      <c r="B459" s="1" t="s">
        <v>492</v>
      </c>
      <c r="C459" s="1" t="s">
        <v>1479</v>
      </c>
      <c r="D459" s="1">
        <v>1</v>
      </c>
      <c r="E459" s="1" t="s">
        <v>525</v>
      </c>
      <c r="F459" s="4">
        <v>45843</v>
      </c>
      <c r="G459" s="4">
        <f>IF(F459="","",EDATE(F459,12)-1)</f>
        <v>46207</v>
      </c>
      <c r="H459" s="1" t="str">
        <f>IFERROR(INDEX(tblAudits[Audit Type],MATCH(B459,tblAudits[Audit ID],0)),"")</f>
        <v>HVNL Management Plan</v>
      </c>
      <c r="I459" s="1" t="str">
        <f>IF(J459="","",IFERROR(INDEX(tblOrgs[Client Name],MATCH(J459,tblOrgs[Client ABN],0)),""))</f>
        <v>Pressure Works Pty Ltd</v>
      </c>
      <c r="J459" s="1">
        <f>IFERROR(INDEX(tblAudits[Client ABN],MATCH(B459,tblAudits[Audit ID],0)),"")</f>
        <v>94365883835</v>
      </c>
      <c r="K459" s="1"/>
    </row>
    <row r="460" spans="1:11" x14ac:dyDescent="0.25">
      <c r="A460" s="1" t="s">
        <v>1370</v>
      </c>
      <c r="B460" s="1" t="s">
        <v>438</v>
      </c>
      <c r="C460" s="1" t="s">
        <v>1371</v>
      </c>
      <c r="D460" s="1">
        <v>1</v>
      </c>
      <c r="E460" s="1" t="s">
        <v>525</v>
      </c>
      <c r="F460" s="4">
        <v>45860</v>
      </c>
      <c r="G460" s="4">
        <f>IF(F460="","",EDATE(F460,12)-1)</f>
        <v>46224</v>
      </c>
      <c r="H460" s="1" t="str">
        <f>IFERROR(INDEX(tblAudits[Audit Type],MATCH(B460,tblAudits[Audit ID],0)),"")</f>
        <v>HVNL Management Plan</v>
      </c>
      <c r="I460" s="1" t="str">
        <f>IF(J460="","",IFERROR(INDEX(tblOrgs[Client Name],MATCH(J460,tblOrgs[Client ABN],0)),""))</f>
        <v>Ash (Vic) Pty Ltd</v>
      </c>
      <c r="J460" s="1">
        <f>IFERROR(INDEX(tblAudits[Client ABN],MATCH(B460,tblAudits[Audit ID],0)),"")</f>
        <v>29115372613</v>
      </c>
      <c r="K460" s="1"/>
    </row>
    <row r="461" spans="1:11" x14ac:dyDescent="0.25">
      <c r="A461" s="1" t="s">
        <v>1384</v>
      </c>
      <c r="B461" s="1" t="s">
        <v>445</v>
      </c>
      <c r="C461" s="1" t="s">
        <v>1385</v>
      </c>
      <c r="D461" s="1">
        <v>1</v>
      </c>
      <c r="E461" s="1" t="s">
        <v>525</v>
      </c>
      <c r="F461" s="4">
        <v>45851</v>
      </c>
      <c r="G461" s="4">
        <f>IF(F461="","",EDATE(F461,12)-1)</f>
        <v>46215</v>
      </c>
      <c r="H461" s="1" t="str">
        <f>IFERROR(INDEX(tblAudits[Audit Type],MATCH(B461,tblAudits[Audit ID],0)),"")</f>
        <v>HVNL Management Plan</v>
      </c>
      <c r="I461" s="1" t="str">
        <f>IF(J461="","",IFERROR(INDEX(tblOrgs[Client Name],MATCH(J461,tblOrgs[Client ABN],0)),""))</f>
        <v>Brent Young Cranes Pty Ltd</v>
      </c>
      <c r="J461" s="1">
        <f>IFERROR(INDEX(tblAudits[Client ABN],MATCH(B461,tblAudits[Audit ID],0)),"")</f>
        <v>74795954655</v>
      </c>
      <c r="K461" s="1"/>
    </row>
    <row r="462" spans="1:11" x14ac:dyDescent="0.25">
      <c r="A462" s="1" t="s">
        <v>1458</v>
      </c>
      <c r="B462" s="1" t="s">
        <v>482</v>
      </c>
      <c r="C462" s="1" t="s">
        <v>1459</v>
      </c>
      <c r="D462" s="1">
        <v>1</v>
      </c>
      <c r="E462" s="1" t="s">
        <v>525</v>
      </c>
      <c r="F462" s="4">
        <v>45848</v>
      </c>
      <c r="G462" s="4">
        <f>IF(F462="","",EDATE(F462,12)-1)</f>
        <v>46212</v>
      </c>
      <c r="H462" s="1" t="str">
        <f>IFERROR(INDEX(tblAudits[Audit Type],MATCH(B462,tblAudits[Audit ID],0)),"")</f>
        <v>HVNL Management Plan</v>
      </c>
      <c r="I462" s="1" t="str">
        <f>IF(J462="","",IFERROR(INDEX(tblOrgs[Client Name],MATCH(J462,tblOrgs[Client ABN],0)),""))</f>
        <v>Maas Group Holdings</v>
      </c>
      <c r="J462" s="1">
        <f>IFERROR(INDEX(tblAudits[Client ABN],MATCH(B462,tblAudits[Audit ID],0)),"")</f>
        <v>84632994542</v>
      </c>
      <c r="K462" s="1"/>
    </row>
    <row r="463" spans="1:11" x14ac:dyDescent="0.25">
      <c r="A463" s="1" t="s">
        <v>1366</v>
      </c>
      <c r="B463" s="1" t="s">
        <v>436</v>
      </c>
      <c r="C463" s="1" t="s">
        <v>1367</v>
      </c>
      <c r="D463" s="1">
        <v>1</v>
      </c>
      <c r="E463" s="1" t="s">
        <v>525</v>
      </c>
      <c r="F463" s="4">
        <v>45862</v>
      </c>
      <c r="G463" s="4">
        <f>IF(F463="","",EDATE(F463,12)-1)</f>
        <v>46226</v>
      </c>
      <c r="H463" s="1" t="str">
        <f>IFERROR(INDEX(tblAudits[Audit Type],MATCH(B463,tblAudits[Audit ID],0)),"")</f>
        <v>HVNL Management Plan</v>
      </c>
      <c r="I463" s="1" t="str">
        <f>IF(J463="","",IFERROR(INDEX(tblOrgs[Client Name],MATCH(J463,tblOrgs[Client ABN],0)),""))</f>
        <v>Arcadia Global Pty Ltd</v>
      </c>
      <c r="J463" s="1">
        <f>IFERROR(INDEX(tblAudits[Client ABN],MATCH(B463,tblAudits[Audit ID],0)),"")</f>
        <v>62008668291</v>
      </c>
      <c r="K463" s="1"/>
    </row>
    <row r="464" spans="1:11" x14ac:dyDescent="0.25">
      <c r="A464" s="1" t="s">
        <v>1368</v>
      </c>
      <c r="B464" s="1" t="s">
        <v>437</v>
      </c>
      <c r="C464" s="1" t="s">
        <v>1369</v>
      </c>
      <c r="D464" s="1">
        <v>1</v>
      </c>
      <c r="E464" s="1" t="s">
        <v>525</v>
      </c>
      <c r="F464" s="4">
        <v>45862</v>
      </c>
      <c r="G464" s="4">
        <f>IF(F464="","",EDATE(F464,12)-1)</f>
        <v>46226</v>
      </c>
      <c r="H464" s="1" t="str">
        <f>IFERROR(INDEX(tblAudits[Audit Type],MATCH(B464,tblAudits[Audit ID],0)),"")</f>
        <v>HVNL Management Plan</v>
      </c>
      <c r="I464" s="1" t="str">
        <f>IF(J464="","",IFERROR(INDEX(tblOrgs[Client Name],MATCH(J464,tblOrgs[Client ABN],0)),""))</f>
        <v>As you like it Landscaping Pty Ltd</v>
      </c>
      <c r="J464" s="1">
        <f>IFERROR(INDEX(tblAudits[Client ABN],MATCH(B464,tblAudits[Audit ID],0)),"")</f>
        <v>51064081956</v>
      </c>
      <c r="K464" s="1"/>
    </row>
    <row r="465" spans="1:11" x14ac:dyDescent="0.25">
      <c r="A465" s="1" t="s">
        <v>1512</v>
      </c>
      <c r="B465" s="1" t="s">
        <v>509</v>
      </c>
      <c r="C465" s="1" t="s">
        <v>1513</v>
      </c>
      <c r="D465" s="1">
        <v>1</v>
      </c>
      <c r="E465" s="1" t="s">
        <v>525</v>
      </c>
      <c r="F465" s="4">
        <v>45859</v>
      </c>
      <c r="G465" s="4">
        <f>IF(F465="","",EDATE(F465,12)-1)</f>
        <v>46223</v>
      </c>
      <c r="H465" s="1" t="str">
        <f>IFERROR(INDEX(tblAudits[Audit Type],MATCH(B465,tblAudits[Audit ID],0)),"")</f>
        <v>HVNL Management Plan</v>
      </c>
      <c r="I465" s="1" t="str">
        <f>IF(J465="","",IFERROR(INDEX(tblOrgs[Client Name],MATCH(J465,tblOrgs[Client ABN],0)),""))</f>
        <v>Tutt Bryant Group Limited</v>
      </c>
      <c r="J465" s="1">
        <f>IFERROR(INDEX(tblAudits[Client ABN],MATCH(B465,tblAudits[Audit ID],0)),"")</f>
        <v>89009242675</v>
      </c>
      <c r="K465" s="1"/>
    </row>
    <row r="466" spans="1:11" x14ac:dyDescent="0.25">
      <c r="A466" s="1" t="s">
        <v>1362</v>
      </c>
      <c r="B466" s="1" t="s">
        <v>434</v>
      </c>
      <c r="C466" s="1" t="s">
        <v>1363</v>
      </c>
      <c r="D466" s="1">
        <v>1</v>
      </c>
      <c r="E466" s="1" t="s">
        <v>525</v>
      </c>
      <c r="F466" s="4">
        <v>45856</v>
      </c>
      <c r="G466" s="4">
        <f>IF(F466="","",EDATE(F466,12)-1)</f>
        <v>46220</v>
      </c>
      <c r="H466" s="1" t="str">
        <f>IFERROR(INDEX(tblAudits[Audit Type],MATCH(B466,tblAudits[Audit ID],0)),"")</f>
        <v>HVNL Management Plan</v>
      </c>
      <c r="I466" s="1" t="str">
        <f>IF(J466="","",IFERROR(INDEX(tblOrgs[Client Name],MATCH(J466,tblOrgs[Client ABN],0)),""))</f>
        <v>Allmark Linemarking Services Pty Ltd</v>
      </c>
      <c r="J466" s="1">
        <f>IFERROR(INDEX(tblAudits[Client ABN],MATCH(B466,tblAudits[Audit ID],0)),"")</f>
        <v>12055966802</v>
      </c>
      <c r="K466" s="1"/>
    </row>
    <row r="467" spans="1:11" x14ac:dyDescent="0.25">
      <c r="A467" s="1" t="s">
        <v>1492</v>
      </c>
      <c r="B467" s="1" t="s">
        <v>499</v>
      </c>
      <c r="C467" s="1" t="s">
        <v>1493</v>
      </c>
      <c r="D467" s="1">
        <v>1</v>
      </c>
      <c r="E467" s="1" t="s">
        <v>525</v>
      </c>
      <c r="F467" s="4">
        <v>45856</v>
      </c>
      <c r="G467" s="4">
        <f>IF(F467="","",EDATE(F467,12)-1)</f>
        <v>46220</v>
      </c>
      <c r="H467" s="1" t="str">
        <f>IFERROR(INDEX(tblAudits[Audit Type],MATCH(B467,tblAudits[Audit ID],0)),"")</f>
        <v>HVNL Management Plan</v>
      </c>
      <c r="I467" s="1" t="str">
        <f>IF(J467="","",IFERROR(INDEX(tblOrgs[Client Name],MATCH(J467,tblOrgs[Client ABN],0)),""))</f>
        <v>Shadbolt Group Pty Ltd</v>
      </c>
      <c r="J467" s="1">
        <f>IFERROR(INDEX(tblAudits[Client ABN],MATCH(B467,tblAudits[Audit ID],0)),"")</f>
        <v>37603737935</v>
      </c>
      <c r="K467" s="1"/>
    </row>
    <row r="468" spans="1:11" x14ac:dyDescent="0.25">
      <c r="A468" s="1" t="s">
        <v>1480</v>
      </c>
      <c r="B468" s="1" t="s">
        <v>493</v>
      </c>
      <c r="C468" s="1" t="s">
        <v>1481</v>
      </c>
      <c r="D468" s="1">
        <v>1</v>
      </c>
      <c r="E468" s="1" t="s">
        <v>525</v>
      </c>
      <c r="F468" s="4">
        <v>45862</v>
      </c>
      <c r="G468" s="4">
        <f>IF(F468="","",EDATE(F468,12)-1)</f>
        <v>46226</v>
      </c>
      <c r="H468" s="1" t="str">
        <f>IFERROR(INDEX(tblAudits[Audit Type],MATCH(B468,tblAudits[Audit ID],0)),"")</f>
        <v>HVNL Management Plan</v>
      </c>
      <c r="I468" s="1" t="str">
        <f>IF(J468="","",IFERROR(INDEX(tblOrgs[Client Name],MATCH(J468,tblOrgs[Client ABN],0)),""))</f>
        <v>RA Smith Contracting Pty Ltd</v>
      </c>
      <c r="J468" s="1">
        <f>IFERROR(INDEX(tblAudits[Client ABN],MATCH(B468,tblAudits[Audit ID],0)),"")</f>
        <v>65006694702</v>
      </c>
      <c r="K468" s="1"/>
    </row>
    <row r="469" spans="1:11" x14ac:dyDescent="0.25">
      <c r="A469" s="1" t="s">
        <v>1364</v>
      </c>
      <c r="B469" s="1" t="s">
        <v>435</v>
      </c>
      <c r="C469" s="1" t="s">
        <v>1365</v>
      </c>
      <c r="D469" s="1">
        <v>1</v>
      </c>
      <c r="E469" s="1" t="s">
        <v>525</v>
      </c>
      <c r="F469" s="4">
        <v>45861</v>
      </c>
      <c r="G469" s="4">
        <f>IF(F469="","",EDATE(F469,12)-1)</f>
        <v>46225</v>
      </c>
      <c r="H469" s="1" t="str">
        <f>IFERROR(INDEX(tblAudits[Audit Type],MATCH(B469,tblAudits[Audit ID],0)),"")</f>
        <v>HVNL Management Plan</v>
      </c>
      <c r="I469" s="1" t="str">
        <f>IF(J469="","",IFERROR(INDEX(tblOrgs[Client Name],MATCH(J469,tblOrgs[Client ABN],0)),""))</f>
        <v>Altitude Construction Group Pty Limited</v>
      </c>
      <c r="J469" s="1">
        <f>IFERROR(INDEX(tblAudits[Client ABN],MATCH(B469,tblAudits[Audit ID],0)),"")</f>
        <v>38117317085</v>
      </c>
      <c r="K469" s="1"/>
    </row>
    <row r="470" spans="1:11" x14ac:dyDescent="0.25">
      <c r="A470" s="1" t="s">
        <v>1534</v>
      </c>
      <c r="B470" s="1" t="s">
        <v>520</v>
      </c>
      <c r="C470" s="1" t="s">
        <v>1535</v>
      </c>
      <c r="D470" s="1">
        <v>1</v>
      </c>
      <c r="E470" s="1" t="s">
        <v>525</v>
      </c>
      <c r="F470" s="4">
        <v>45861</v>
      </c>
      <c r="G470" s="4">
        <f>IF(F470="","",EDATE(F470,12)-1)</f>
        <v>46225</v>
      </c>
      <c r="H470" s="1" t="str">
        <f>IFERROR(INDEX(tblAudits[Audit Type],MATCH(B470,tblAudits[Audit ID],0)),"")</f>
        <v>WHSEQ Integrated Management System</v>
      </c>
      <c r="I470" s="1" t="str">
        <f>IF(J470="","",IFERROR(INDEX(tblOrgs[Client Name],MATCH(J470,tblOrgs[Client ABN],0)),""))</f>
        <v>Altitude Construction Group Pty Limited</v>
      </c>
      <c r="J470" s="1">
        <f>IFERROR(INDEX(tblAudits[Client ABN],MATCH(B470,tblAudits[Audit ID],0)),"")</f>
        <v>38117317085</v>
      </c>
      <c r="K470" s="1"/>
    </row>
    <row r="471" spans="1:11" x14ac:dyDescent="0.25">
      <c r="A471" s="1" t="s">
        <v>1454</v>
      </c>
      <c r="B471" s="1" t="s">
        <v>480</v>
      </c>
      <c r="C471" s="1" t="s">
        <v>1455</v>
      </c>
      <c r="D471" s="1">
        <v>1</v>
      </c>
      <c r="E471" s="1" t="s">
        <v>525</v>
      </c>
      <c r="F471" s="4">
        <v>45870</v>
      </c>
      <c r="G471" s="4">
        <f>IF(F471="","",EDATE(F471,12)-1)</f>
        <v>46234</v>
      </c>
      <c r="H471" s="1" t="str">
        <f>IFERROR(INDEX(tblAudits[Audit Type],MATCH(B471,tblAudits[Audit ID],0)),"")</f>
        <v>HVNL Management Plan</v>
      </c>
      <c r="I471" s="1" t="str">
        <f>IF(J471="","",IFERROR(INDEX(tblOrgs[Client Name],MATCH(J471,tblOrgs[Client ABN],0)),""))</f>
        <v>M &amp; L Walford Pty Ltd</v>
      </c>
      <c r="J471" s="1">
        <f>IFERROR(INDEX(tblAudits[Client ABN],MATCH(B471,tblAudits[Audit ID],0)),"")</f>
        <v>81137960582</v>
      </c>
      <c r="K471" s="1"/>
    </row>
    <row r="472" spans="1:11" x14ac:dyDescent="0.25">
      <c r="A472" s="1" t="s">
        <v>1428</v>
      </c>
      <c r="B472" s="1" t="s">
        <v>467</v>
      </c>
      <c r="C472" s="1" t="s">
        <v>1429</v>
      </c>
      <c r="D472" s="1">
        <v>1</v>
      </c>
      <c r="E472" s="1" t="s">
        <v>525</v>
      </c>
      <c r="F472" s="4">
        <v>45882</v>
      </c>
      <c r="G472" s="4">
        <f>IF(F472="","",EDATE(F472,12)-1)</f>
        <v>46246</v>
      </c>
      <c r="H472" s="1" t="str">
        <f>IFERROR(INDEX(tblAudits[Audit Type],MATCH(B472,tblAudits[Audit ID],0)),"")</f>
        <v>HVNL Management Plan</v>
      </c>
      <c r="I472" s="1" t="str">
        <f>IF(J472="","",IFERROR(INDEX(tblOrgs[Client Name],MATCH(J472,tblOrgs[Client ABN],0)),""))</f>
        <v>Hi-Haul Transport Pty Ltd</v>
      </c>
      <c r="J472" s="1">
        <f>IFERROR(INDEX(tblAudits[Client ABN],MATCH(B472,tblAudits[Audit ID],0)),"")</f>
        <v>25005099632</v>
      </c>
      <c r="K472" s="1"/>
    </row>
    <row r="473" spans="1:11" x14ac:dyDescent="0.25">
      <c r="A473" s="1" t="s">
        <v>652</v>
      </c>
      <c r="B473" s="1" t="s">
        <v>78</v>
      </c>
      <c r="C473" s="1" t="s">
        <v>653</v>
      </c>
      <c r="D473" s="1">
        <v>1</v>
      </c>
      <c r="E473" s="1" t="s">
        <v>525</v>
      </c>
      <c r="F473" s="4">
        <v>44278</v>
      </c>
      <c r="G473" s="4">
        <f>IF(F473="","",EDATE(F473,12)-1)</f>
        <v>44642</v>
      </c>
      <c r="H473" s="1" t="str">
        <f>IFERROR(INDEX(tblAudits[Audit Type],MATCH(B473,tblAudits[Audit ID],0)),"")</f>
        <v>HVNL Management Plan</v>
      </c>
      <c r="I473" s="1" t="str">
        <f>IF(J473="","",IFERROR(INDEX(tblOrgs[Client Name],MATCH(J473,tblOrgs[Client ABN],0)),""))</f>
        <v>Calbah Industries Pty Ltd</v>
      </c>
      <c r="J473" s="1">
        <f>IFERROR(INDEX(tblAudits[Client ABN],MATCH(B473,tblAudits[Audit ID],0)),"")</f>
        <v>58050275020</v>
      </c>
      <c r="K473" s="1"/>
    </row>
    <row r="474" spans="1:11" x14ac:dyDescent="0.25">
      <c r="A474" s="1" t="s">
        <v>1404</v>
      </c>
      <c r="B474" s="1" t="s">
        <v>455</v>
      </c>
      <c r="C474" s="1" t="s">
        <v>1405</v>
      </c>
      <c r="D474" s="1">
        <v>1</v>
      </c>
      <c r="E474" s="1" t="s">
        <v>525</v>
      </c>
      <c r="F474" s="4">
        <v>45920</v>
      </c>
      <c r="G474" s="4">
        <f>IF(F474="","",EDATE(F474,12)-1)</f>
        <v>46284</v>
      </c>
      <c r="H474" s="1" t="str">
        <f>IFERROR(INDEX(tblAudits[Audit Type],MATCH(B474,tblAudits[Audit ID],0)),"")</f>
        <v>HVNL Management Plan</v>
      </c>
      <c r="I474" s="1" t="str">
        <f>IF(J474="","",IFERROR(INDEX(tblOrgs[Client Name],MATCH(J474,tblOrgs[Client ABN],0)),""))</f>
        <v>Delta Machine Kerbing Pty Ltd</v>
      </c>
      <c r="J474" s="1">
        <f>IFERROR(INDEX(tblAudits[Client ABN],MATCH(B474,tblAudits[Audit ID],0)),"")</f>
        <v>28068134672</v>
      </c>
      <c r="K474" s="1"/>
    </row>
    <row r="475" spans="1:11" x14ac:dyDescent="0.25">
      <c r="A475" s="1" t="s">
        <v>1418</v>
      </c>
      <c r="B475" s="1" t="s">
        <v>462</v>
      </c>
      <c r="C475" s="1" t="s">
        <v>1419</v>
      </c>
      <c r="D475" s="1">
        <v>1</v>
      </c>
      <c r="E475" s="1" t="s">
        <v>525</v>
      </c>
      <c r="F475" s="4">
        <v>45902</v>
      </c>
      <c r="G475" s="4">
        <f>IF(F475="","",EDATE(F475,12)-1)</f>
        <v>46266</v>
      </c>
      <c r="H475" s="1" t="str">
        <f>IFERROR(INDEX(tblAudits[Audit Type],MATCH(B475,tblAudits[Audit ID],0)),"")</f>
        <v>HVNL Management Plan</v>
      </c>
      <c r="I475" s="1" t="str">
        <f>IF(J475="","",IFERROR(INDEX(tblOrgs[Client Name],MATCH(J475,tblOrgs[Client ABN],0)),""))</f>
        <v>F and Sons Transport Pty Ltd</v>
      </c>
      <c r="J475" s="1">
        <f>IFERROR(INDEX(tblAudits[Client ABN],MATCH(B475,tblAudits[Audit ID],0)),"")</f>
        <v>48109484004</v>
      </c>
      <c r="K475" s="1"/>
    </row>
    <row r="476" spans="1:11" x14ac:dyDescent="0.25">
      <c r="A476" s="1" t="s">
        <v>1518</v>
      </c>
      <c r="B476" s="1" t="s">
        <v>512</v>
      </c>
      <c r="C476" s="1" t="s">
        <v>1519</v>
      </c>
      <c r="D476" s="1">
        <v>1</v>
      </c>
      <c r="E476" s="1" t="s">
        <v>525</v>
      </c>
      <c r="F476" s="4">
        <v>45914</v>
      </c>
      <c r="G476" s="4">
        <f>IF(F476="","",EDATE(F476,12)-1)</f>
        <v>46278</v>
      </c>
      <c r="H476" s="1" t="str">
        <f>IFERROR(INDEX(tblAudits[Audit Type],MATCH(B476,tblAudits[Audit ID],0)),"")</f>
        <v>HVNL Management Plan</v>
      </c>
      <c r="I476" s="1" t="str">
        <f>IF(J476="","",IFERROR(INDEX(tblOrgs[Client Name],MATCH(J476,tblOrgs[Client ABN],0)),""))</f>
        <v>Victorian Crane Hire Pty Ltd</v>
      </c>
      <c r="J476" s="1">
        <f>IFERROR(INDEX(tblAudits[Client ABN],MATCH(B476,tblAudits[Audit ID],0)),"")</f>
        <v>15619105092</v>
      </c>
      <c r="K476" s="1"/>
    </row>
    <row r="477" spans="1:11" x14ac:dyDescent="0.25">
      <c r="A477" s="1" t="s">
        <v>1430</v>
      </c>
      <c r="B477" s="1" t="s">
        <v>468</v>
      </c>
      <c r="C477" s="1" t="s">
        <v>1431</v>
      </c>
      <c r="D477" s="1">
        <v>1</v>
      </c>
      <c r="E477" s="1" t="s">
        <v>525</v>
      </c>
      <c r="F477" s="4">
        <v>45880</v>
      </c>
      <c r="G477" s="4">
        <f>IF(F477="","",EDATE(F477,12)-1)</f>
        <v>46244</v>
      </c>
      <c r="H477" s="1" t="str">
        <f>IFERROR(INDEX(tblAudits[Audit Type],MATCH(B477,tblAudits[Audit ID],0)),"")</f>
        <v>HVNL Management Plan</v>
      </c>
      <c r="I477" s="1" t="str">
        <f>IF(J477="","",IFERROR(INDEX(tblOrgs[Client Name],MATCH(J477,tblOrgs[Client ABN],0)),""))</f>
        <v>HL Landscapes Pty Ltd</v>
      </c>
      <c r="J477" s="1">
        <f>IFERROR(INDEX(tblAudits[Client ABN],MATCH(B477,tblAudits[Audit ID],0)),"")</f>
        <v>92119886734</v>
      </c>
      <c r="K477" s="1"/>
    </row>
    <row r="478" spans="1:11" x14ac:dyDescent="0.25">
      <c r="A478" s="1" t="s">
        <v>1408</v>
      </c>
      <c r="B478" s="1" t="s">
        <v>457</v>
      </c>
      <c r="C478" s="1" t="s">
        <v>1409</v>
      </c>
      <c r="D478" s="1">
        <v>1</v>
      </c>
      <c r="E478" s="1" t="s">
        <v>525</v>
      </c>
      <c r="F478" s="4">
        <v>45883</v>
      </c>
      <c r="G478" s="4">
        <f>IF(F478="","",EDATE(F478,12)-1)</f>
        <v>46247</v>
      </c>
      <c r="H478" s="1" t="str">
        <f>IFERROR(INDEX(tblAudits[Audit Type],MATCH(B478,tblAudits[Audit ID],0)),"")</f>
        <v>HVNL Management Plan</v>
      </c>
      <c r="I478" s="1" t="str">
        <f>IF(J478="","",IFERROR(INDEX(tblOrgs[Client Name],MATCH(J478,tblOrgs[Client ABN],0)),""))</f>
        <v>Earthtek Excavations Pty Ltd</v>
      </c>
      <c r="J478" s="1">
        <f>IFERROR(INDEX(tblAudits[Client ABN],MATCH(B478,tblAudits[Audit ID],0)),"")</f>
        <v>54090536575</v>
      </c>
      <c r="K478" s="1"/>
    </row>
    <row r="479" spans="1:11" x14ac:dyDescent="0.25">
      <c r="A479" s="1" t="s">
        <v>1528</v>
      </c>
      <c r="B479" s="1" t="s">
        <v>517</v>
      </c>
      <c r="C479" s="1" t="s">
        <v>1529</v>
      </c>
      <c r="D479" s="1">
        <v>1</v>
      </c>
      <c r="E479" s="1" t="s">
        <v>525</v>
      </c>
      <c r="F479" s="4">
        <v>45883</v>
      </c>
      <c r="G479" s="4">
        <f>IF(F479="","",EDATE(F479,12)-1)</f>
        <v>46247</v>
      </c>
      <c r="H479" s="1" t="str">
        <f>IFERROR(INDEX(tblAudits[Audit Type],MATCH(B479,tblAudits[Audit ID],0)),"")</f>
        <v>WHS Management System</v>
      </c>
      <c r="I479" s="1" t="str">
        <f>IF(J479="","",IFERROR(INDEX(tblOrgs[Client Name],MATCH(J479,tblOrgs[Client ABN],0)),""))</f>
        <v>Earthtek Excavations Pty Ltd</v>
      </c>
      <c r="J479" s="1">
        <f>IFERROR(INDEX(tblAudits[Client ABN],MATCH(B479,tblAudits[Audit ID],0)),"")</f>
        <v>54090536575</v>
      </c>
      <c r="K479" s="1"/>
    </row>
    <row r="480" spans="1:11" x14ac:dyDescent="0.25">
      <c r="A480" s="1" t="s">
        <v>1442</v>
      </c>
      <c r="B480" s="1" t="s">
        <v>474</v>
      </c>
      <c r="C480" s="1" t="s">
        <v>1443</v>
      </c>
      <c r="D480" s="1">
        <v>1</v>
      </c>
      <c r="E480" s="1" t="s">
        <v>525</v>
      </c>
      <c r="F480" s="4">
        <v>45952</v>
      </c>
      <c r="G480" s="4">
        <f>IF(F480="","",EDATE(F480,12)-1)</f>
        <v>46316</v>
      </c>
      <c r="H480" s="1" t="str">
        <f>IFERROR(INDEX(tblAudits[Audit Type],MATCH(B480,tblAudits[Audit ID],0)),"")</f>
        <v>HVNL Management Plan</v>
      </c>
      <c r="I480" s="1" t="str">
        <f>IF(J480="","",IFERROR(INDEX(tblOrgs[Client Name],MATCH(J480,tblOrgs[Client ABN],0)),""))</f>
        <v>Kenny Constructions (Aust.) Pty. Limited</v>
      </c>
      <c r="J480" s="1">
        <f>IFERROR(INDEX(tblAudits[Client ABN],MATCH(B480,tblAudits[Audit ID],0)),"")</f>
        <v>74096169416</v>
      </c>
      <c r="K480" s="1"/>
    </row>
    <row r="481" spans="1:11" x14ac:dyDescent="0.25">
      <c r="A481" s="1" t="s">
        <v>1440</v>
      </c>
      <c r="B481" s="1" t="s">
        <v>473</v>
      </c>
      <c r="C481" s="1" t="s">
        <v>1441</v>
      </c>
      <c r="D481" s="1">
        <v>1</v>
      </c>
      <c r="E481" s="1" t="s">
        <v>525</v>
      </c>
      <c r="F481" s="4">
        <v>45952</v>
      </c>
      <c r="G481" s="4">
        <f>IF(F481="","",EDATE(F481,12)-1)</f>
        <v>46316</v>
      </c>
      <c r="H481" s="1" t="str">
        <f>IFERROR(INDEX(tblAudits[Audit Type],MATCH(B481,tblAudits[Audit ID],0)),"")</f>
        <v>HVNL Management Plan</v>
      </c>
      <c r="I481" s="1" t="str">
        <f>IF(J481="","",IFERROR(INDEX(tblOrgs[Client Name],MATCH(J481,tblOrgs[Client ABN],0)),""))</f>
        <v>Kenny Constructions (Aust.) Pty. Limited</v>
      </c>
      <c r="J481" s="1">
        <f>IFERROR(INDEX(tblAudits[Client ABN],MATCH(B481,tblAudits[Audit ID],0)),"")</f>
        <v>74096169416</v>
      </c>
      <c r="K481" s="1"/>
    </row>
    <row r="482" spans="1:11" x14ac:dyDescent="0.25">
      <c r="A482" s="1" t="s">
        <v>1406</v>
      </c>
      <c r="B482" s="1" t="s">
        <v>456</v>
      </c>
      <c r="C482" s="1" t="s">
        <v>1407</v>
      </c>
      <c r="D482" s="1">
        <v>1</v>
      </c>
      <c r="E482" s="1" t="s">
        <v>525</v>
      </c>
      <c r="F482" s="4">
        <v>45899</v>
      </c>
      <c r="G482" s="4">
        <f>IF(F482="","",EDATE(F482,12)-1)</f>
        <v>46263</v>
      </c>
      <c r="H482" s="1" t="str">
        <f>IFERROR(INDEX(tblAudits[Audit Type],MATCH(B482,tblAudits[Audit ID],0)),"")</f>
        <v>HVNL Management Plan</v>
      </c>
      <c r="I482" s="1" t="str">
        <f>IF(J482="","",IFERROR(INDEX(tblOrgs[Client Name],MATCH(J482,tblOrgs[Client ABN],0)),""))</f>
        <v>Durkin Construction Pty Ltd</v>
      </c>
      <c r="J482" s="1">
        <f>IFERROR(INDEX(tblAudits[Client ABN],MATCH(B482,tblAudits[Audit ID],0)),"")</f>
        <v>73615246118</v>
      </c>
      <c r="K482" s="1"/>
    </row>
    <row r="483" spans="1:11" x14ac:dyDescent="0.25">
      <c r="A483" s="1" t="s">
        <v>1380</v>
      </c>
      <c r="B483" s="1" t="s">
        <v>443</v>
      </c>
      <c r="C483" s="1" t="s">
        <v>1381</v>
      </c>
      <c r="D483" s="1">
        <v>1</v>
      </c>
      <c r="E483" s="1" t="s">
        <v>525</v>
      </c>
      <c r="F483" s="4">
        <v>45884</v>
      </c>
      <c r="G483" s="4">
        <f>IF(F483="","",EDATE(F483,12)-1)</f>
        <v>46248</v>
      </c>
      <c r="H483" s="1" t="str">
        <f>IFERROR(INDEX(tblAudits[Audit Type],MATCH(B483,tblAudits[Audit ID],0)),"")</f>
        <v>HVNL Management Plan</v>
      </c>
      <c r="I483" s="1" t="str">
        <f>IF(J483="","",IFERROR(INDEX(tblOrgs[Client Name],MATCH(J483,tblOrgs[Client ABN],0)),""))</f>
        <v>Barlina Pty Ltd</v>
      </c>
      <c r="J483" s="1">
        <f>IFERROR(INDEX(tblAudits[Client ABN],MATCH(B483,tblAudits[Audit ID],0)),"")</f>
        <v>40078243526</v>
      </c>
      <c r="K483" s="1"/>
    </row>
    <row r="484" spans="1:11" x14ac:dyDescent="0.25">
      <c r="A484" s="1" t="s">
        <v>1486</v>
      </c>
      <c r="B484" s="1" t="s">
        <v>496</v>
      </c>
      <c r="C484" s="1" t="s">
        <v>1487</v>
      </c>
      <c r="D484" s="1">
        <v>1</v>
      </c>
      <c r="E484" s="1" t="s">
        <v>525</v>
      </c>
      <c r="F484" s="4">
        <v>45896</v>
      </c>
      <c r="G484" s="4">
        <f>IF(F484="","",EDATE(F484,12)-1)</f>
        <v>46260</v>
      </c>
      <c r="H484" s="1" t="str">
        <f>IFERROR(INDEX(tblAudits[Audit Type],MATCH(B484,tblAudits[Audit ID],0)),"")</f>
        <v>HVNL Management Plan</v>
      </c>
      <c r="I484" s="1" t="str">
        <f>IF(J484="","",IFERROR(INDEX(tblOrgs[Client Name],MATCH(J484,tblOrgs[Client ABN],0)),""))</f>
        <v>RB &amp; SCW Enterprises Pty Ltd</v>
      </c>
      <c r="J484" s="1">
        <f>IFERROR(INDEX(tblAudits[Client ABN],MATCH(B484,tblAudits[Audit ID],0)),"")</f>
        <v>84612885471</v>
      </c>
      <c r="K484" s="1"/>
    </row>
    <row r="485" spans="1:11" x14ac:dyDescent="0.25">
      <c r="A485" s="1" t="s">
        <v>1206</v>
      </c>
      <c r="B485" s="1" t="s">
        <v>356</v>
      </c>
      <c r="C485" s="1" t="s">
        <v>1207</v>
      </c>
      <c r="D485" s="1">
        <v>1</v>
      </c>
      <c r="E485" s="1" t="s">
        <v>525</v>
      </c>
      <c r="F485" s="4">
        <v>45505</v>
      </c>
      <c r="G485" s="4">
        <f>IF(F485="","",EDATE(F485,12)-1)</f>
        <v>45869</v>
      </c>
      <c r="H485" s="1" t="str">
        <f>IFERROR(INDEX(tblAudits[Audit Type],MATCH(B485,tblAudits[Audit ID],0)),"")</f>
        <v>HVNL Management Plan</v>
      </c>
      <c r="I485" s="1" t="str">
        <f>IF(J485="","",IFERROR(INDEX(tblOrgs[Client Name],MATCH(J485,tblOrgs[Client ABN],0)),""))</f>
        <v>Euro Civil Pty Ltd</v>
      </c>
      <c r="J485" s="1">
        <f>IFERROR(INDEX(tblAudits[Client ABN],MATCH(B485,tblAudits[Audit ID],0)),"")</f>
        <v>85057330748</v>
      </c>
      <c r="K485" s="1"/>
    </row>
    <row r="486" spans="1:11" x14ac:dyDescent="0.25">
      <c r="A486" s="1" t="s">
        <v>1456</v>
      </c>
      <c r="B486" s="1" t="s">
        <v>481</v>
      </c>
      <c r="C486" s="1" t="s">
        <v>1457</v>
      </c>
      <c r="D486" s="1">
        <v>1</v>
      </c>
      <c r="E486" s="1" t="s">
        <v>525</v>
      </c>
      <c r="F486" s="4">
        <v>45908</v>
      </c>
      <c r="G486" s="4">
        <f>IF(F486="","",EDATE(F486,12)-1)</f>
        <v>46272</v>
      </c>
      <c r="H486" s="1" t="str">
        <f>IFERROR(INDEX(tblAudits[Audit Type],MATCH(B486,tblAudits[Audit ID],0)),"")</f>
        <v>HVNL Management Plan</v>
      </c>
      <c r="I486" s="1" t="str">
        <f>IF(J486="","",IFERROR(INDEX(tblOrgs[Client Name],MATCH(J486,tblOrgs[Client ABN],0)),""))</f>
        <v>M.E. &amp; A.J. Forrest &amp; Son Pty Ltd</v>
      </c>
      <c r="J486" s="1">
        <f>IFERROR(INDEX(tblAudits[Client ABN],MATCH(B486,tblAudits[Audit ID],0)),"")</f>
        <v>97063538205</v>
      </c>
      <c r="K486" s="1"/>
    </row>
    <row r="487" spans="1:11" x14ac:dyDescent="0.25">
      <c r="A487" s="1" t="s">
        <v>1498</v>
      </c>
      <c r="B487" s="1" t="s">
        <v>502</v>
      </c>
      <c r="C487" s="1" t="s">
        <v>1499</v>
      </c>
      <c r="D487" s="1">
        <v>1</v>
      </c>
      <c r="E487" s="1" t="s">
        <v>525</v>
      </c>
      <c r="F487" s="4">
        <v>45919</v>
      </c>
      <c r="G487" s="4">
        <f>IF(F487="","",EDATE(F487,12)-1)</f>
        <v>46283</v>
      </c>
      <c r="H487" s="1" t="str">
        <f>IFERROR(INDEX(tblAudits[Audit Type],MATCH(B487,tblAudits[Audit ID],0)),"")</f>
        <v>HVNL Management Plan</v>
      </c>
      <c r="I487" s="1" t="str">
        <f>IF(J487="","",IFERROR(INDEX(tblOrgs[Client Name],MATCH(J487,tblOrgs[Client ABN],0)),""))</f>
        <v>Speno Rail Maintenance Australia Pty Ltd</v>
      </c>
      <c r="J487" s="1">
        <f>IFERROR(INDEX(tblAudits[Client ABN],MATCH(B487,tblAudits[Audit ID],0)),"")</f>
        <v>30009206722</v>
      </c>
      <c r="K487" s="1"/>
    </row>
    <row r="488" spans="1:11" x14ac:dyDescent="0.25">
      <c r="A488" s="1" t="s">
        <v>1494</v>
      </c>
      <c r="B488" s="1" t="s">
        <v>500</v>
      </c>
      <c r="C488" s="1" t="s">
        <v>1495</v>
      </c>
      <c r="D488" s="1">
        <v>1</v>
      </c>
      <c r="E488" s="1" t="s">
        <v>525</v>
      </c>
      <c r="F488" s="4">
        <v>45901</v>
      </c>
      <c r="G488" s="4">
        <f>IF(F488="","",EDATE(F488,12)-1)</f>
        <v>46265</v>
      </c>
      <c r="H488" s="1" t="str">
        <f>IFERROR(INDEX(tblAudits[Audit Type],MATCH(B488,tblAudits[Audit ID],0)),"")</f>
        <v>HVNL Management Plan</v>
      </c>
      <c r="I488" s="1" t="str">
        <f>IF(J488="","",IFERROR(INDEX(tblOrgs[Client Name],MATCH(J488,tblOrgs[Client ABN],0)),""))</f>
        <v>Skeffmac Pty Ltd</v>
      </c>
      <c r="J488" s="1">
        <f>IFERROR(INDEX(tblAudits[Client ABN],MATCH(B488,tblAudits[Audit ID],0)),"")</f>
        <v>26639030774</v>
      </c>
      <c r="K488" s="1"/>
    </row>
    <row r="489" spans="1:11" x14ac:dyDescent="0.25">
      <c r="A489" s="1" t="s">
        <v>1372</v>
      </c>
      <c r="B489" s="1" t="s">
        <v>439</v>
      </c>
      <c r="C489" s="1" t="s">
        <v>1373</v>
      </c>
      <c r="D489" s="1">
        <v>1</v>
      </c>
      <c r="E489" s="1" t="s">
        <v>525</v>
      </c>
      <c r="F489" s="4">
        <v>45915</v>
      </c>
      <c r="G489" s="4">
        <f>IF(F489="","",EDATE(F489,12)-1)</f>
        <v>46279</v>
      </c>
      <c r="H489" s="1" t="str">
        <f>IFERROR(INDEX(tblAudits[Audit Type],MATCH(B489,tblAudits[Audit ID],0)),"")</f>
        <v>HVNL Management Plan</v>
      </c>
      <c r="I489" s="1" t="str">
        <f>IF(J489="","",IFERROR(INDEX(tblOrgs[Client Name],MATCH(J489,tblOrgs[Client ABN],0)),""))</f>
        <v>Astern Group Pty Ltd</v>
      </c>
      <c r="J489" s="1">
        <f>IFERROR(INDEX(tblAudits[Client ABN],MATCH(B489,tblAudits[Audit ID],0)),"")</f>
        <v>68609740105</v>
      </c>
      <c r="K489" s="1"/>
    </row>
    <row r="490" spans="1:11" x14ac:dyDescent="0.25">
      <c r="A490" s="1" t="s">
        <v>1476</v>
      </c>
      <c r="B490" s="1" t="s">
        <v>491</v>
      </c>
      <c r="C490" s="1" t="s">
        <v>1477</v>
      </c>
      <c r="D490" s="1">
        <v>1</v>
      </c>
      <c r="E490" s="1" t="s">
        <v>525</v>
      </c>
      <c r="F490" s="4">
        <v>45900</v>
      </c>
      <c r="G490" s="4">
        <f>IF(F490="","",EDATE(F490,12)-1)</f>
        <v>46264</v>
      </c>
      <c r="H490" s="1" t="str">
        <f>IFERROR(INDEX(tblAudits[Audit Type],MATCH(B490,tblAudits[Audit ID],0)),"")</f>
        <v>HVNL Management Plan</v>
      </c>
      <c r="I490" s="1" t="str">
        <f>IF(J490="","",IFERROR(INDEX(tblOrgs[Client Name],MATCH(J490,tblOrgs[Client ABN],0)),""))</f>
        <v>Patriot Tankers Pty Ltd</v>
      </c>
      <c r="J490" s="1">
        <f>IFERROR(INDEX(tblAudits[Client ABN],MATCH(B490,tblAudits[Audit ID],0)),"")</f>
        <v>58133136400</v>
      </c>
      <c r="K490" s="1"/>
    </row>
    <row r="491" spans="1:11" x14ac:dyDescent="0.25">
      <c r="A491" s="1" t="s">
        <v>1396</v>
      </c>
      <c r="B491" s="1" t="s">
        <v>451</v>
      </c>
      <c r="C491" s="1" t="s">
        <v>1397</v>
      </c>
      <c r="D491" s="1">
        <v>1</v>
      </c>
      <c r="E491" s="1" t="s">
        <v>525</v>
      </c>
      <c r="F491" s="4">
        <v>45908</v>
      </c>
      <c r="G491" s="4">
        <f>IF(F491="","",EDATE(F491,12)-1)</f>
        <v>46272</v>
      </c>
      <c r="H491" s="1" t="str">
        <f>IFERROR(INDEX(tblAudits[Audit Type],MATCH(B491,tblAudits[Audit ID],0)),"")</f>
        <v>HVNL Management Plan</v>
      </c>
      <c r="I491" s="1" t="str">
        <f>IF(J491="","",IFERROR(INDEX(tblOrgs[Client Name],MATCH(J491,tblOrgs[Client ABN],0)),""))</f>
        <v>Coates Hire Operations Pty Limited</v>
      </c>
      <c r="J491" s="1">
        <f>IFERROR(INDEX(tblAudits[Client ABN],MATCH(B491,tblAudits[Audit ID],0)),"")</f>
        <v>99074126971</v>
      </c>
      <c r="K491" s="1"/>
    </row>
    <row r="492" spans="1:11" x14ac:dyDescent="0.25">
      <c r="A492" s="1" t="s">
        <v>1466</v>
      </c>
      <c r="B492" s="1" t="s">
        <v>486</v>
      </c>
      <c r="C492" s="1" t="s">
        <v>1467</v>
      </c>
      <c r="D492" s="1">
        <v>1</v>
      </c>
      <c r="E492" s="1" t="s">
        <v>525</v>
      </c>
      <c r="F492" s="4">
        <v>45944</v>
      </c>
      <c r="G492" s="4">
        <f>IF(F492="","",EDATE(F492,12)-1)</f>
        <v>46308</v>
      </c>
      <c r="H492" s="1" t="str">
        <f>IFERROR(INDEX(tblAudits[Audit Type],MATCH(B492,tblAudits[Audit ID],0)),"")</f>
        <v>HVNL Management Plan</v>
      </c>
      <c r="I492" s="1" t="str">
        <f>IF(J492="","",IFERROR(INDEX(tblOrgs[Client Name],MATCH(J492,tblOrgs[Client ABN],0)),""))</f>
        <v>MJB Contractors Pty Ltd</v>
      </c>
      <c r="J492" s="1">
        <f>IFERROR(INDEX(tblAudits[Client ABN],MATCH(B492,tblAudits[Audit ID],0)),"")</f>
        <v>11091247951</v>
      </c>
      <c r="K492" s="1"/>
    </row>
    <row r="493" spans="1:11" x14ac:dyDescent="0.25">
      <c r="A493" s="1" t="s">
        <v>1516</v>
      </c>
      <c r="B493" s="1" t="s">
        <v>511</v>
      </c>
      <c r="C493" s="1" t="s">
        <v>1517</v>
      </c>
      <c r="D493" s="1">
        <v>1</v>
      </c>
      <c r="E493" s="1" t="s">
        <v>525</v>
      </c>
      <c r="F493" s="4">
        <v>45937</v>
      </c>
      <c r="G493" s="4">
        <f>IF(F493="","",EDATE(F493,12)-1)</f>
        <v>46301</v>
      </c>
      <c r="H493" s="1" t="str">
        <f>IFERROR(INDEX(tblAudits[Audit Type],MATCH(B493,tblAudits[Audit ID],0)),"")</f>
        <v>HVNL Management Plan</v>
      </c>
      <c r="I493" s="1" t="str">
        <f>IF(J493="","",IFERROR(INDEX(tblOrgs[Client Name],MATCH(J493,tblOrgs[Client ABN],0)),""))</f>
        <v>Vaughan Civil Pty Ltd</v>
      </c>
      <c r="J493" s="1">
        <f>IFERROR(INDEX(tblAudits[Client ABN],MATCH(B493,tblAudits[Audit ID],0)),"")</f>
        <v>50152638447</v>
      </c>
      <c r="K493" s="1"/>
    </row>
    <row r="494" spans="1:11" x14ac:dyDescent="0.25">
      <c r="A494" s="1" t="s">
        <v>1460</v>
      </c>
      <c r="B494" s="1" t="s">
        <v>483</v>
      </c>
      <c r="C494" s="1" t="s">
        <v>1461</v>
      </c>
      <c r="D494" s="1">
        <v>1</v>
      </c>
      <c r="E494" s="1" t="s">
        <v>525</v>
      </c>
      <c r="F494" s="4">
        <v>45959</v>
      </c>
      <c r="G494" s="4">
        <f>IF(F494="","",EDATE(F494,12)-1)</f>
        <v>46323</v>
      </c>
      <c r="H494" s="1" t="str">
        <f>IFERROR(INDEX(tblAudits[Audit Type],MATCH(B494,tblAudits[Audit ID],0)),"")</f>
        <v>HVNL Management Plan</v>
      </c>
      <c r="I494" s="1" t="str">
        <f>IF(J494="","",IFERROR(INDEX(tblOrgs[Client Name],MATCH(J494,tblOrgs[Client ABN],0)),""))</f>
        <v>Mataniel Laurate Pty Ltd</v>
      </c>
      <c r="J494" s="1">
        <f>IFERROR(INDEX(tblAudits[Client ABN],MATCH(B494,tblAudits[Audit ID],0)),"")</f>
        <v>37094906028</v>
      </c>
      <c r="K494" s="1"/>
    </row>
    <row r="495" spans="1:11" x14ac:dyDescent="0.25">
      <c r="A495" s="1" t="s">
        <v>1398</v>
      </c>
      <c r="B495" s="1" t="s">
        <v>452</v>
      </c>
      <c r="C495" s="1" t="s">
        <v>1399</v>
      </c>
      <c r="D495" s="1">
        <v>1</v>
      </c>
      <c r="E495" s="1" t="s">
        <v>525</v>
      </c>
      <c r="F495" s="4">
        <v>45891</v>
      </c>
      <c r="G495" s="4">
        <f>IF(F495="","",EDATE(F495,12)-1)</f>
        <v>46255</v>
      </c>
      <c r="H495" s="1" t="str">
        <f>IFERROR(INDEX(tblAudits[Audit Type],MATCH(B495,tblAudits[Audit ID],0)),"")</f>
        <v>HVNL Management Plan</v>
      </c>
      <c r="I495" s="1" t="str">
        <f>IF(J495="","",IFERROR(INDEX(tblOrgs[Client Name],MATCH(J495,tblOrgs[Client ABN],0)),""))</f>
        <v>Complete Welding Services International Pty Ltd</v>
      </c>
      <c r="J495" s="1">
        <f>IFERROR(INDEX(tblAudits[Client ABN],MATCH(B495,tblAudits[Audit ID],0)),"")</f>
        <v>97054579243</v>
      </c>
      <c r="K495" s="1"/>
    </row>
    <row r="496" spans="1:11" x14ac:dyDescent="0.25">
      <c r="A496" s="1" t="s">
        <v>1532</v>
      </c>
      <c r="B496" s="1" t="s">
        <v>519</v>
      </c>
      <c r="C496" s="1" t="s">
        <v>1533</v>
      </c>
      <c r="D496" s="1">
        <v>1</v>
      </c>
      <c r="E496" s="1" t="s">
        <v>525</v>
      </c>
      <c r="F496" s="4">
        <v>45953</v>
      </c>
      <c r="G496" s="4">
        <f>IF(F496="","",EDATE(F496,12)-1)</f>
        <v>46317</v>
      </c>
      <c r="H496" s="1" t="str">
        <f>IFERROR(INDEX(tblAudits[Audit Type],MATCH(B496,tblAudits[Audit ID],0)),"")</f>
        <v>WHS Management System</v>
      </c>
      <c r="I496" s="1" t="str">
        <f>IF(J496="","",IFERROR(INDEX(tblOrgs[Client Name],MATCH(J496,tblOrgs[Client ABN],0)),""))</f>
        <v>Wallace Concrete Pumping Pty Ltd</v>
      </c>
      <c r="J496" s="1">
        <f>IFERROR(INDEX(tblAudits[Client ABN],MATCH(B496,tblAudits[Audit ID],0)),"")</f>
        <v>49157958177</v>
      </c>
      <c r="K496" s="1"/>
    </row>
    <row r="497" spans="1:11" x14ac:dyDescent="0.25">
      <c r="A497" s="1" t="s">
        <v>1520</v>
      </c>
      <c r="B497" s="1" t="s">
        <v>513</v>
      </c>
      <c r="C497" s="1" t="s">
        <v>1521</v>
      </c>
      <c r="D497" s="1">
        <v>1</v>
      </c>
      <c r="E497" s="1" t="s">
        <v>525</v>
      </c>
      <c r="F497" s="4">
        <v>45953</v>
      </c>
      <c r="G497" s="4">
        <f>IF(F497="","",EDATE(F497,12)-1)</f>
        <v>46317</v>
      </c>
      <c r="H497" s="1" t="str">
        <f>IFERROR(INDEX(tblAudits[Audit Type],MATCH(B497,tblAudits[Audit ID],0)),"")</f>
        <v>HVNL Management Plan</v>
      </c>
      <c r="I497" s="1" t="str">
        <f>IF(J497="","",IFERROR(INDEX(tblOrgs[Client Name],MATCH(J497,tblOrgs[Client ABN],0)),""))</f>
        <v>Wallace Concrete Pumping Pty Ltd</v>
      </c>
      <c r="J497" s="1">
        <f>IFERROR(INDEX(tblAudits[Client ABN],MATCH(B497,tblAudits[Audit ID],0)),"")</f>
        <v>49157958177</v>
      </c>
      <c r="K497" s="1"/>
    </row>
    <row r="498" spans="1:11" x14ac:dyDescent="0.25">
      <c r="A498" s="1" t="s">
        <v>1422</v>
      </c>
      <c r="B498" s="1" t="s">
        <v>464</v>
      </c>
      <c r="C498" s="1" t="s">
        <v>1423</v>
      </c>
      <c r="D498" s="1">
        <v>1</v>
      </c>
      <c r="E498" s="1" t="s">
        <v>525</v>
      </c>
      <c r="F498" s="4">
        <v>45954</v>
      </c>
      <c r="G498" s="4">
        <f>IF(F498="","",EDATE(F498,12)-1)</f>
        <v>46318</v>
      </c>
      <c r="H498" s="1" t="str">
        <f>IFERROR(INDEX(tblAudits[Audit Type],MATCH(B498,tblAudits[Audit ID],0)),"")</f>
        <v>HVNL Management Plan</v>
      </c>
      <c r="I498" s="1" t="str">
        <f>IF(J498="","",IFERROR(INDEX(tblOrgs[Client Name],MATCH(J498,tblOrgs[Client ABN],0)),""))</f>
        <v>Focus Hire Pty Ltd</v>
      </c>
      <c r="J498" s="1">
        <f>IFERROR(INDEX(tblAudits[Client ABN],MATCH(B498,tblAudits[Audit ID],0)),"")</f>
        <v>27624650406</v>
      </c>
      <c r="K498" s="1"/>
    </row>
    <row r="499" spans="1:11" x14ac:dyDescent="0.25">
      <c r="A499" s="1" t="s">
        <v>1468</v>
      </c>
      <c r="B499" s="1" t="s">
        <v>487</v>
      </c>
      <c r="C499" s="1" t="s">
        <v>1469</v>
      </c>
      <c r="D499" s="1">
        <v>1</v>
      </c>
      <c r="E499" s="1" t="s">
        <v>525</v>
      </c>
      <c r="F499" s="4">
        <v>45962</v>
      </c>
      <c r="G499" s="4">
        <f>IF(F499="","",EDATE(F499,12)-1)</f>
        <v>46326</v>
      </c>
      <c r="H499" s="1" t="str">
        <f>IFERROR(INDEX(tblAudits[Audit Type],MATCH(B499,tblAudits[Audit ID],0)),"")</f>
        <v>HVNL Management Plan</v>
      </c>
      <c r="I499" s="1" t="str">
        <f>IF(J499="","",IFERROR(INDEX(tblOrgs[Client Name],MATCH(J499,tblOrgs[Client ABN],0)),""))</f>
        <v>Modcast Pty Ltd</v>
      </c>
      <c r="J499" s="1">
        <f>IFERROR(INDEX(tblAudits[Client ABN],MATCH(B499,tblAudits[Audit ID],0)),"")</f>
        <v>30626198847</v>
      </c>
      <c r="K499" s="1"/>
    </row>
    <row r="500" spans="1:11" x14ac:dyDescent="0.25">
      <c r="A500" s="1" t="s">
        <v>1400</v>
      </c>
      <c r="B500" s="1" t="s">
        <v>453</v>
      </c>
      <c r="C500" s="1" t="s">
        <v>1401</v>
      </c>
      <c r="D500" s="1">
        <v>1</v>
      </c>
      <c r="E500" s="1" t="s">
        <v>525</v>
      </c>
      <c r="F500" s="4">
        <v>45983</v>
      </c>
      <c r="G500" s="4">
        <f>IF(F500="","",EDATE(F500,12)-1)</f>
        <v>46347</v>
      </c>
      <c r="H500" s="1" t="str">
        <f>IFERROR(INDEX(tblAudits[Audit Type],MATCH(B500,tblAudits[Audit ID],0)),"")</f>
        <v>HVNL Management Plan</v>
      </c>
      <c r="I500" s="1" t="str">
        <f>IF(J500="","",IFERROR(INDEX(tblOrgs[Client Name],MATCH(J500,tblOrgs[Client ABN],0)),""))</f>
        <v>Cono Services Pty Ltd</v>
      </c>
      <c r="J500" s="1">
        <f>IFERROR(INDEX(tblAudits[Client ABN],MATCH(B500,tblAudits[Audit ID],0)),"")</f>
        <v>90167205656</v>
      </c>
      <c r="K500" s="1"/>
    </row>
    <row r="501" spans="1:11" x14ac:dyDescent="0.25">
      <c r="A501" s="1" t="s">
        <v>1382</v>
      </c>
      <c r="B501" s="1" t="s">
        <v>444</v>
      </c>
      <c r="C501" s="1" t="s">
        <v>1383</v>
      </c>
      <c r="D501" s="1">
        <v>1</v>
      </c>
      <c r="E501" s="1" t="s">
        <v>525</v>
      </c>
      <c r="F501" s="4">
        <v>45667</v>
      </c>
      <c r="G501" s="4">
        <f>IF(F501="","",EDATE(F501,12)-1)</f>
        <v>46031</v>
      </c>
      <c r="H501" s="1" t="str">
        <f>IFERROR(INDEX(tblAudits[Audit Type],MATCH(B501,tblAudits[Audit ID],0)),"")</f>
        <v>HVNL Management Plan</v>
      </c>
      <c r="I501" s="1" t="str">
        <f>IF(J501="","",IFERROR(INDEX(tblOrgs[Client Name],MATCH(J501,tblOrgs[Client ABN],0)),""))</f>
        <v>BLASK Pty Ltd</v>
      </c>
      <c r="J501" s="1">
        <f>IFERROR(INDEX(tblAudits[Client ABN],MATCH(B501,tblAudits[Audit ID],0)),"")</f>
        <v>41813267182</v>
      </c>
      <c r="K501" s="1"/>
    </row>
    <row r="502" spans="1:11" x14ac:dyDescent="0.25">
      <c r="A502" s="1" t="s">
        <v>1416</v>
      </c>
      <c r="B502" s="1" t="s">
        <v>461</v>
      </c>
      <c r="C502" s="1" t="s">
        <v>1417</v>
      </c>
      <c r="D502" s="1">
        <v>1</v>
      </c>
      <c r="E502" s="1" t="s">
        <v>525</v>
      </c>
      <c r="F502" s="4">
        <v>45963</v>
      </c>
      <c r="G502" s="4">
        <f>IF(F502="","",EDATE(F502,12)-1)</f>
        <v>46327</v>
      </c>
      <c r="H502" s="1" t="str">
        <f>IFERROR(INDEX(tblAudits[Audit Type],MATCH(B502,tblAudits[Audit ID],0)),"")</f>
        <v>HVNL Management Plan</v>
      </c>
      <c r="I502" s="1" t="str">
        <f>IF(J502="","",IFERROR(INDEX(tblOrgs[Client Name],MATCH(J502,tblOrgs[Client ABN],0)),""))</f>
        <v>Evolution Group Holdings Pty Ltd</v>
      </c>
      <c r="J502" s="1">
        <f>IFERROR(INDEX(tblAudits[Client ABN],MATCH(B502,tblAudits[Audit ID],0)),"")</f>
        <v>14147834133</v>
      </c>
      <c r="K502" s="1"/>
    </row>
    <row r="503" spans="1:11" x14ac:dyDescent="0.25">
      <c r="A503" s="1" t="s">
        <v>1504</v>
      </c>
      <c r="B503" s="1" t="s">
        <v>505</v>
      </c>
      <c r="C503" s="1" t="s">
        <v>1505</v>
      </c>
      <c r="D503" s="1">
        <v>1</v>
      </c>
      <c r="E503" s="1" t="s">
        <v>525</v>
      </c>
      <c r="F503" s="4">
        <v>45978</v>
      </c>
      <c r="G503" s="4">
        <f>IF(F503="","",EDATE(F503,12)-1)</f>
        <v>46342</v>
      </c>
      <c r="H503" s="1" t="str">
        <f>IFERROR(INDEX(tblAudits[Audit Type],MATCH(B503,tblAudits[Audit ID],0)),"")</f>
        <v>HVNL Management Plan</v>
      </c>
      <c r="I503" s="1" t="str">
        <f>IF(J503="","",IFERROR(INDEX(tblOrgs[Client Name],MATCH(J503,tblOrgs[Client ABN],0)),""))</f>
        <v>T. Eilbeck &amp; Son Pty Ltd</v>
      </c>
      <c r="J503" s="1">
        <f>IFERROR(INDEX(tblAudits[Client ABN],MATCH(B503,tblAudits[Audit ID],0)),"")</f>
        <v>22295128214</v>
      </c>
      <c r="K503" s="1"/>
    </row>
    <row r="504" spans="1:11" x14ac:dyDescent="0.25">
      <c r="A504" s="1" t="s">
        <v>1438</v>
      </c>
      <c r="B504" s="1" t="s">
        <v>472</v>
      </c>
      <c r="C504" s="1" t="s">
        <v>1439</v>
      </c>
      <c r="D504" s="1">
        <v>1</v>
      </c>
      <c r="E504" s="1" t="s">
        <v>525</v>
      </c>
      <c r="F504" s="4">
        <v>45988</v>
      </c>
      <c r="G504" s="4">
        <f>IF(F504="","",EDATE(F504,12)-1)</f>
        <v>46352</v>
      </c>
      <c r="H504" s="1" t="str">
        <f>IFERROR(INDEX(tblAudits[Audit Type],MATCH(B504,tblAudits[Audit ID],0)),"")</f>
        <v>HVNL Management Plan</v>
      </c>
      <c r="I504" s="1" t="str">
        <f>IF(J504="","",IFERROR(INDEX(tblOrgs[Client Name],MATCH(J504,tblOrgs[Client ABN],0)),""))</f>
        <v>Kelko Construction Pty. Ltd</v>
      </c>
      <c r="J504" s="1">
        <f>IFERROR(INDEX(tblAudits[Client ABN],MATCH(B504,tblAudits[Audit ID],0)),"")</f>
        <v>18163328694</v>
      </c>
      <c r="K504" s="1"/>
    </row>
    <row r="505" spans="1:11" x14ac:dyDescent="0.25">
      <c r="A505" s="1" t="s">
        <v>1510</v>
      </c>
      <c r="B505" s="1" t="s">
        <v>508</v>
      </c>
      <c r="C505" s="1" t="s">
        <v>1511</v>
      </c>
      <c r="D505" s="1">
        <v>1</v>
      </c>
      <c r="E505" s="1" t="s">
        <v>525</v>
      </c>
      <c r="F505" s="4">
        <v>45987</v>
      </c>
      <c r="G505" s="4">
        <f>IF(F505="","",EDATE(F505,12)-1)</f>
        <v>46351</v>
      </c>
      <c r="H505" s="1" t="str">
        <f>IFERROR(INDEX(tblAudits[Audit Type],MATCH(B505,tblAudits[Audit ID],0)),"")</f>
        <v>HVNL Management Plan</v>
      </c>
      <c r="I505" s="1" t="str">
        <f>IF(J505="","",IFERROR(INDEX(tblOrgs[Client Name],MATCH(J505,tblOrgs[Client ABN],0)),""))</f>
        <v>Trevi Australia Pty Ltd</v>
      </c>
      <c r="J505" s="1">
        <f>IFERROR(INDEX(tblAudits[Client ABN],MATCH(B505,tblAudits[Audit ID],0)),"")</f>
        <v>91161293401</v>
      </c>
      <c r="K505" s="1"/>
    </row>
    <row r="506" spans="1:11" x14ac:dyDescent="0.25">
      <c r="A506" s="1" t="s">
        <v>1506</v>
      </c>
      <c r="B506" s="1" t="s">
        <v>506</v>
      </c>
      <c r="C506" s="1" t="s">
        <v>1507</v>
      </c>
      <c r="D506" s="1">
        <v>1</v>
      </c>
      <c r="E506" s="1" t="s">
        <v>525</v>
      </c>
      <c r="F506" s="4">
        <v>45978</v>
      </c>
      <c r="G506" s="4">
        <f>IF(F506="","",EDATE(F506,12)-1)</f>
        <v>46342</v>
      </c>
      <c r="H506" s="1" t="str">
        <f>IFERROR(INDEX(tblAudits[Audit Type],MATCH(B506,tblAudits[Audit ID],0)),"")</f>
        <v>HVNL Management Plan</v>
      </c>
      <c r="I506" s="1" t="str">
        <f>IF(J506="","",IFERROR(INDEX(tblOrgs[Client Name],MATCH(J506,tblOrgs[Client ABN],0)),""))</f>
        <v>TCB Trans Logistics Vic Pty Ltd</v>
      </c>
      <c r="J506" s="1">
        <f>IFERROR(INDEX(tblAudits[Client ABN],MATCH(B506,tblAudits[Audit ID],0)),"")</f>
        <v>84654629642</v>
      </c>
      <c r="K506" s="1"/>
    </row>
    <row r="507" spans="1:11" x14ac:dyDescent="0.25">
      <c r="A507" s="1" t="s">
        <v>1432</v>
      </c>
      <c r="B507" s="1" t="s">
        <v>469</v>
      </c>
      <c r="C507" s="1" t="s">
        <v>1433</v>
      </c>
      <c r="D507" s="1">
        <v>1</v>
      </c>
      <c r="E507" s="1" t="s">
        <v>525</v>
      </c>
      <c r="F507" s="4">
        <v>45962</v>
      </c>
      <c r="G507" s="4">
        <f>IF(F507="","",EDATE(F507,12)-1)</f>
        <v>46326</v>
      </c>
      <c r="H507" s="1" t="str">
        <f>IFERROR(INDEX(tblAudits[Audit Type],MATCH(B507,tblAudits[Audit ID],0)),"")</f>
        <v>HVNL Management Plan</v>
      </c>
      <c r="I507" s="1" t="str">
        <f>IF(J507="","",IFERROR(INDEX(tblOrgs[Client Name],MATCH(J507,tblOrgs[Client ABN],0)),""))</f>
        <v>Holcim (Australia) Pty Ltd</v>
      </c>
      <c r="J507" s="1">
        <f>IFERROR(INDEX(tblAudits[Client ABN],MATCH(B507,tblAudits[Audit ID],0)),"")</f>
        <v>87099732297</v>
      </c>
      <c r="K507" s="1"/>
    </row>
    <row r="508" spans="1:11" x14ac:dyDescent="0.25">
      <c r="A508" s="1" t="s">
        <v>2471</v>
      </c>
      <c r="B508" s="1" t="s">
        <v>2461</v>
      </c>
      <c r="C508" s="1" t="s">
        <v>2451</v>
      </c>
      <c r="D508" s="1">
        <v>1</v>
      </c>
      <c r="E508" s="1" t="s">
        <v>525</v>
      </c>
      <c r="F508" s="4">
        <v>45999</v>
      </c>
      <c r="G508" s="4">
        <f>IF(F508="","",EDATE(F508,12)-1)</f>
        <v>46363</v>
      </c>
      <c r="H508" s="1" t="str">
        <f>IFERROR(INDEX(tblAudits[Audit Type],MATCH(B508,tblAudits[Audit ID],0)),"")</f>
        <v>HVNL Management Plan</v>
      </c>
      <c r="I508" s="1" t="str">
        <f>IF(J508="","",IFERROR(INDEX(tblOrgs[Client Name],MATCH(J508,tblOrgs[Client ABN],0)),""))</f>
        <v>Hex Hire Pty Ltd</v>
      </c>
      <c r="J508" s="1">
        <v>74848500748</v>
      </c>
      <c r="K508" s="1"/>
    </row>
    <row r="509" spans="1:11" x14ac:dyDescent="0.25">
      <c r="A509" s="1" t="s">
        <v>2472</v>
      </c>
      <c r="B509" s="1" t="s">
        <v>2462</v>
      </c>
      <c r="C509" s="1" t="s">
        <v>2452</v>
      </c>
      <c r="D509" s="1">
        <v>1</v>
      </c>
      <c r="E509" s="1" t="s">
        <v>525</v>
      </c>
      <c r="F509" s="4">
        <v>45977</v>
      </c>
      <c r="G509" s="4">
        <f>IF(F509="","",EDATE(F509,12)-1)</f>
        <v>46341</v>
      </c>
      <c r="H509" s="1" t="str">
        <f>IFERROR(INDEX(tblAudits[Audit Type],MATCH(B509,tblAudits[Audit ID],0)),"")</f>
        <v>HVNL Management Plan</v>
      </c>
      <c r="I509" s="1" t="str">
        <f>IF(J509="","",IFERROR(INDEX(tblOrgs[Client Name],MATCH(J509,tblOrgs[Client ABN],0)),""))</f>
        <v>Symal Group Pty Ltd</v>
      </c>
      <c r="J509" s="1">
        <v>72615255466</v>
      </c>
      <c r="K509" s="1"/>
    </row>
    <row r="510" spans="1:11" x14ac:dyDescent="0.25">
      <c r="A510" s="1" t="s">
        <v>2473</v>
      </c>
      <c r="B510" s="1" t="s">
        <v>2463</v>
      </c>
      <c r="C510" s="1" t="s">
        <v>2453</v>
      </c>
      <c r="D510" s="1">
        <v>1</v>
      </c>
      <c r="E510" s="1" t="s">
        <v>525</v>
      </c>
      <c r="F510" s="4">
        <v>45991</v>
      </c>
      <c r="G510" s="4">
        <f>IF(F510="","",EDATE(F510,12)-1)</f>
        <v>46355</v>
      </c>
      <c r="H510" s="1" t="str">
        <f>IFERROR(INDEX(tblAudits[Audit Type],MATCH(B510,tblAudits[Audit ID],0)),"")</f>
        <v>HVNL Management Plan</v>
      </c>
      <c r="I510" s="1" t="str">
        <f>IF(J510="","",IFERROR(INDEX(tblOrgs[Client Name],MATCH(J510,tblOrgs[Client ABN],0)),""))</f>
        <v>Q Electrical Services Pty Ltd</v>
      </c>
      <c r="J510" s="1">
        <v>70068064817</v>
      </c>
      <c r="K510" s="1"/>
    </row>
    <row r="511" spans="1:11" x14ac:dyDescent="0.25">
      <c r="A511" s="1" t="s">
        <v>2474</v>
      </c>
      <c r="B511" s="1" t="s">
        <v>2464</v>
      </c>
      <c r="C511" s="1" t="s">
        <v>2454</v>
      </c>
      <c r="D511" s="1">
        <v>1</v>
      </c>
      <c r="E511" s="1" t="s">
        <v>525</v>
      </c>
      <c r="F511" s="4">
        <v>46004</v>
      </c>
      <c r="G511" s="4">
        <f>IF(F511="","",EDATE(F511,12)-1)</f>
        <v>46368</v>
      </c>
      <c r="H511" s="1" t="str">
        <f>IFERROR(INDEX(tblAudits[Audit Type],MATCH(B511,tblAudits[Audit ID],0)),"")</f>
        <v>HVNL Management Plan</v>
      </c>
      <c r="I511" s="1" t="str">
        <f>IF(J511="","",IFERROR(INDEX(tblOrgs[Client Name],MATCH(J511,tblOrgs[Client ABN],0)),""))</f>
        <v>Freight Movement Pty Ltd</v>
      </c>
      <c r="J511" s="1">
        <v>61130823933</v>
      </c>
      <c r="K511" s="1"/>
    </row>
    <row r="512" spans="1:11" x14ac:dyDescent="0.25">
      <c r="A512" s="1" t="s">
        <v>2475</v>
      </c>
      <c r="B512" s="1" t="s">
        <v>2465</v>
      </c>
      <c r="C512" s="1" t="s">
        <v>2455</v>
      </c>
      <c r="D512" s="1">
        <v>1</v>
      </c>
      <c r="E512" s="1" t="s">
        <v>525</v>
      </c>
      <c r="F512" s="4">
        <v>45999</v>
      </c>
      <c r="G512" s="4">
        <f>IF(F512="","",EDATE(F512,12)-1)</f>
        <v>46363</v>
      </c>
      <c r="H512" s="1" t="str">
        <f>IFERROR(INDEX(tblAudits[Audit Type],MATCH(B512,tblAudits[Audit ID],0)),"")</f>
        <v>HVNL Management Plan</v>
      </c>
      <c r="I512" s="1" t="str">
        <f>IF(J512="","",IFERROR(INDEX(tblOrgs[Client Name],MATCH(J512,tblOrgs[Client ABN],0)),""))</f>
        <v>HDD Drilling Pty Ltd</v>
      </c>
      <c r="J512" s="1">
        <v>20654502557</v>
      </c>
      <c r="K512" s="1"/>
    </row>
    <row r="513" spans="1:11" x14ac:dyDescent="0.25">
      <c r="A513" s="1" t="s">
        <v>2476</v>
      </c>
      <c r="B513" s="1" t="s">
        <v>2466</v>
      </c>
      <c r="C513" s="1" t="s">
        <v>2456</v>
      </c>
      <c r="D513" s="1">
        <v>1</v>
      </c>
      <c r="E513" s="1" t="s">
        <v>525</v>
      </c>
      <c r="F513" s="4">
        <v>46006</v>
      </c>
      <c r="G513" s="4">
        <f>IF(F513="","",EDATE(F513,12)-1)</f>
        <v>46370</v>
      </c>
      <c r="H513" s="1" t="str">
        <f>IFERROR(INDEX(tblAudits[Audit Type],MATCH(B513,tblAudits[Audit ID],0)),"")</f>
        <v>HVNL Management Plan</v>
      </c>
      <c r="I513" s="1" t="str">
        <f>IF(J513="","",IFERROR(INDEX(tblOrgs[Client Name],MATCH(J513,tblOrgs[Client ABN],0)),""))</f>
        <v>Integrated Heavylift Pty Ltd</v>
      </c>
      <c r="J513" s="1">
        <v>27691732699</v>
      </c>
      <c r="K513" s="1"/>
    </row>
    <row r="514" spans="1:11" x14ac:dyDescent="0.25">
      <c r="A514" s="1" t="s">
        <v>2477</v>
      </c>
      <c r="B514" s="1" t="s">
        <v>2467</v>
      </c>
      <c r="C514" s="1" t="s">
        <v>2457</v>
      </c>
      <c r="D514" s="1">
        <v>1</v>
      </c>
      <c r="E514" s="1" t="s">
        <v>525</v>
      </c>
      <c r="F514" s="4">
        <v>45962</v>
      </c>
      <c r="G514" s="4">
        <f>IF(F514="","",EDATE(F514,12)-1)</f>
        <v>46326</v>
      </c>
      <c r="H514" s="1" t="str">
        <f>IFERROR(INDEX(tblAudits[Audit Type],MATCH(B514,tblAudits[Audit ID],0)),"")</f>
        <v>HVNL Management Plan</v>
      </c>
      <c r="I514" s="1" t="str">
        <f>IF(J514="","",IFERROR(INDEX(tblOrgs[Client Name],MATCH(J514,tblOrgs[Client ABN],0)),""))</f>
        <v>Reinforced Earth Pty Ltd</v>
      </c>
      <c r="J514" s="1">
        <v>53001215327</v>
      </c>
      <c r="K514" s="1"/>
    </row>
    <row r="515" spans="1:11" x14ac:dyDescent="0.25">
      <c r="A515" s="1" t="s">
        <v>2478</v>
      </c>
      <c r="B515" s="1" t="s">
        <v>2468</v>
      </c>
      <c r="C515" s="1" t="s">
        <v>2458</v>
      </c>
      <c r="D515" s="1">
        <v>1</v>
      </c>
      <c r="E515" s="1" t="s">
        <v>525</v>
      </c>
      <c r="F515" s="4">
        <v>46053</v>
      </c>
      <c r="G515" s="4">
        <f>IF(F515="","",EDATE(F515,12)-1)</f>
        <v>46417</v>
      </c>
      <c r="H515" s="1" t="str">
        <f>IFERROR(INDEX(tblAudits[Audit Type],MATCH(B515,tblAudits[Audit ID],0)),"")</f>
        <v>HVNL Management Plan</v>
      </c>
      <c r="I515" s="1" t="str">
        <f>IF(J515="","",IFERROR(INDEX(tblOrgs[Client Name],MATCH(J515,tblOrgs[Client ABN],0)),""))</f>
        <v>Eire Midland Constructions Pty Ltd</v>
      </c>
      <c r="J515" s="1">
        <v>45079929687</v>
      </c>
      <c r="K515" s="1"/>
    </row>
    <row r="516" spans="1:11" x14ac:dyDescent="0.25">
      <c r="A516" s="1" t="s">
        <v>2479</v>
      </c>
      <c r="B516" s="1" t="s">
        <v>2469</v>
      </c>
      <c r="C516" s="1" t="s">
        <v>2459</v>
      </c>
      <c r="D516" s="1">
        <v>1</v>
      </c>
      <c r="E516" s="1" t="s">
        <v>525</v>
      </c>
      <c r="F516" s="4">
        <v>45990</v>
      </c>
      <c r="G516" s="4">
        <f>IF(F516="","",EDATE(F516,12)-1)</f>
        <v>46354</v>
      </c>
      <c r="H516" s="1" t="str">
        <f>IFERROR(INDEX(tblAudits[Audit Type],MATCH(B516,tblAudits[Audit ID],0)),"")</f>
        <v>HVNL Management Plan</v>
      </c>
      <c r="I516" s="1" t="str">
        <f>IF(J516="","",IFERROR(INDEX(tblOrgs[Client Name],MATCH(J516,tblOrgs[Client ABN],0)),""))</f>
        <v>RAF Civil Pty Ltd</v>
      </c>
      <c r="J516" s="1">
        <v>53623928003</v>
      </c>
      <c r="K516" s="1"/>
    </row>
    <row r="517" spans="1:11" x14ac:dyDescent="0.25">
      <c r="A517" s="1" t="s">
        <v>2480</v>
      </c>
      <c r="B517" s="1" t="s">
        <v>2470</v>
      </c>
      <c r="C517" s="1" t="s">
        <v>2460</v>
      </c>
      <c r="D517" s="1">
        <v>1</v>
      </c>
      <c r="E517" s="1" t="s">
        <v>525</v>
      </c>
      <c r="F517" s="4">
        <v>46009</v>
      </c>
      <c r="G517" s="4">
        <f>IF(F517="","",EDATE(F517,12)-1)</f>
        <v>46373</v>
      </c>
      <c r="H517" s="1" t="str">
        <f>IFERROR(INDEX(tblAudits[Audit Type],MATCH(B517,tblAudits[Audit ID],0)),"")</f>
        <v>HVNL Management Plan</v>
      </c>
      <c r="I517" s="1" t="str">
        <f>IF(J517="","",IFERROR(INDEX(tblOrgs[Client Name],MATCH(J517,tblOrgs[Client ABN],0)),""))</f>
        <v>Adamson Earthmovers Services Pty Ltd</v>
      </c>
      <c r="J517" s="1">
        <v>83641467558</v>
      </c>
      <c r="K517" s="1"/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3"/>
  <sheetViews>
    <sheetView workbookViewId="0">
      <selection activeCell="F18" sqref="F18"/>
    </sheetView>
  </sheetViews>
  <sheetFormatPr defaultRowHeight="15" x14ac:dyDescent="0.25"/>
  <cols>
    <col min="1" max="1" width="14.28515625" customWidth="1"/>
    <col min="2" max="2" width="26.140625" customWidth="1"/>
    <col min="3" max="3" width="52.5703125" bestFit="1" customWidth="1"/>
  </cols>
  <sheetData>
    <row r="1" spans="1:3" x14ac:dyDescent="0.25">
      <c r="A1" t="s">
        <v>2489</v>
      </c>
      <c r="B1" t="s">
        <v>2488</v>
      </c>
      <c r="C1" t="s">
        <v>2490</v>
      </c>
    </row>
    <row r="2" spans="1:3" x14ac:dyDescent="0.25">
      <c r="A2" s="1">
        <v>1</v>
      </c>
      <c r="B2" s="1">
        <v>99006697338</v>
      </c>
      <c r="C2" s="1" t="s">
        <v>1536</v>
      </c>
    </row>
    <row r="3" spans="1:3" x14ac:dyDescent="0.25">
      <c r="A3" s="1">
        <v>2</v>
      </c>
      <c r="B3" s="1">
        <v>98608665434</v>
      </c>
      <c r="C3" s="1" t="s">
        <v>1537</v>
      </c>
    </row>
    <row r="4" spans="1:3" x14ac:dyDescent="0.25">
      <c r="A4" s="1">
        <v>3</v>
      </c>
      <c r="B4" s="1">
        <v>98082765697</v>
      </c>
      <c r="C4" s="1" t="s">
        <v>1538</v>
      </c>
    </row>
    <row r="5" spans="1:3" x14ac:dyDescent="0.25">
      <c r="A5" s="1">
        <v>4</v>
      </c>
      <c r="B5" s="1">
        <v>98050056105</v>
      </c>
      <c r="C5" s="1" t="s">
        <v>1539</v>
      </c>
    </row>
    <row r="6" spans="1:3" x14ac:dyDescent="0.25">
      <c r="A6" s="1">
        <v>5</v>
      </c>
      <c r="B6" s="1">
        <v>97612535145</v>
      </c>
      <c r="C6" s="1" t="s">
        <v>1540</v>
      </c>
    </row>
    <row r="7" spans="1:3" x14ac:dyDescent="0.25">
      <c r="A7" s="1">
        <v>6</v>
      </c>
      <c r="B7" s="1">
        <v>97153464469</v>
      </c>
      <c r="C7" s="1" t="s">
        <v>1541</v>
      </c>
    </row>
    <row r="8" spans="1:3" x14ac:dyDescent="0.25">
      <c r="A8" s="1">
        <v>7</v>
      </c>
      <c r="B8" s="1">
        <v>97111176713</v>
      </c>
      <c r="C8" s="1" t="s">
        <v>1542</v>
      </c>
    </row>
    <row r="9" spans="1:3" x14ac:dyDescent="0.25">
      <c r="A9" s="1">
        <v>8</v>
      </c>
      <c r="B9" s="1">
        <v>97063538205</v>
      </c>
      <c r="C9" s="1" t="s">
        <v>2491</v>
      </c>
    </row>
    <row r="10" spans="1:3" x14ac:dyDescent="0.25">
      <c r="A10" s="1">
        <v>9</v>
      </c>
      <c r="B10" s="1">
        <v>97054579243</v>
      </c>
      <c r="C10" s="1" t="s">
        <v>1543</v>
      </c>
    </row>
    <row r="11" spans="1:3" x14ac:dyDescent="0.25">
      <c r="A11" s="1">
        <v>10</v>
      </c>
      <c r="B11" s="1">
        <v>96146398478</v>
      </c>
      <c r="C11" s="1" t="s">
        <v>1544</v>
      </c>
    </row>
    <row r="12" spans="1:3" x14ac:dyDescent="0.25">
      <c r="A12" s="1">
        <v>11</v>
      </c>
      <c r="B12" s="1">
        <v>95063541873</v>
      </c>
      <c r="C12" s="1" t="s">
        <v>1545</v>
      </c>
    </row>
    <row r="13" spans="1:3" x14ac:dyDescent="0.25">
      <c r="A13" s="1">
        <v>12</v>
      </c>
      <c r="B13" s="1">
        <v>94623690031</v>
      </c>
      <c r="C13" s="1" t="s">
        <v>1546</v>
      </c>
    </row>
    <row r="14" spans="1:3" x14ac:dyDescent="0.25">
      <c r="A14" s="1">
        <v>13</v>
      </c>
      <c r="B14" s="1">
        <v>94365883835</v>
      </c>
      <c r="C14" s="1" t="s">
        <v>1547</v>
      </c>
    </row>
    <row r="15" spans="1:3" x14ac:dyDescent="0.25">
      <c r="A15" s="1">
        <v>14</v>
      </c>
      <c r="B15" s="1">
        <v>92161261874</v>
      </c>
      <c r="C15" s="1" t="s">
        <v>1548</v>
      </c>
    </row>
    <row r="16" spans="1:3" x14ac:dyDescent="0.25">
      <c r="A16" s="1">
        <v>15</v>
      </c>
      <c r="B16" s="1">
        <v>92119886734</v>
      </c>
      <c r="C16" s="1" t="s">
        <v>1549</v>
      </c>
    </row>
    <row r="17" spans="1:3" x14ac:dyDescent="0.25">
      <c r="A17" s="1">
        <v>16</v>
      </c>
      <c r="B17" s="1">
        <v>92107423156</v>
      </c>
      <c r="C17" s="1" t="s">
        <v>1550</v>
      </c>
    </row>
    <row r="18" spans="1:3" x14ac:dyDescent="0.25">
      <c r="A18" s="1">
        <v>17</v>
      </c>
      <c r="B18" s="1">
        <v>91161293401</v>
      </c>
      <c r="C18" s="1" t="s">
        <v>1551</v>
      </c>
    </row>
    <row r="19" spans="1:3" x14ac:dyDescent="0.25">
      <c r="A19" s="1">
        <v>18</v>
      </c>
      <c r="B19" s="1">
        <v>91160983246</v>
      </c>
      <c r="C19" s="1" t="s">
        <v>1552</v>
      </c>
    </row>
    <row r="20" spans="1:3" x14ac:dyDescent="0.25">
      <c r="A20" s="1">
        <v>19</v>
      </c>
      <c r="B20" s="1">
        <v>91136398126</v>
      </c>
      <c r="C20" s="1" t="s">
        <v>1553</v>
      </c>
    </row>
    <row r="21" spans="1:3" x14ac:dyDescent="0.25">
      <c r="A21" s="1">
        <v>20</v>
      </c>
      <c r="B21" s="1">
        <v>91134733808</v>
      </c>
      <c r="C21" s="1" t="s">
        <v>1554</v>
      </c>
    </row>
    <row r="22" spans="1:3" x14ac:dyDescent="0.25">
      <c r="A22" s="1">
        <v>21</v>
      </c>
      <c r="B22" s="1">
        <v>90167205656</v>
      </c>
      <c r="C22" s="1" t="s">
        <v>1555</v>
      </c>
    </row>
    <row r="23" spans="1:3" x14ac:dyDescent="0.25">
      <c r="A23" s="1">
        <v>22</v>
      </c>
      <c r="B23" s="1">
        <v>90096370357</v>
      </c>
      <c r="C23" s="1" t="s">
        <v>1556</v>
      </c>
    </row>
    <row r="24" spans="1:3" x14ac:dyDescent="0.25">
      <c r="A24" s="1">
        <v>23</v>
      </c>
      <c r="B24" s="1">
        <v>90003499849</v>
      </c>
      <c r="C24" s="1" t="s">
        <v>1557</v>
      </c>
    </row>
    <row r="25" spans="1:3" x14ac:dyDescent="0.25">
      <c r="A25" s="1">
        <v>24</v>
      </c>
      <c r="B25" s="1">
        <v>89009242675</v>
      </c>
      <c r="C25" s="1" t="s">
        <v>1558</v>
      </c>
    </row>
    <row r="26" spans="1:3" x14ac:dyDescent="0.25">
      <c r="A26" s="1">
        <v>25</v>
      </c>
      <c r="B26" s="1">
        <v>88604544023</v>
      </c>
      <c r="C26" s="1" t="s">
        <v>1559</v>
      </c>
    </row>
    <row r="27" spans="1:3" x14ac:dyDescent="0.25">
      <c r="A27" s="1">
        <v>26</v>
      </c>
      <c r="B27" s="1">
        <v>88108718350</v>
      </c>
      <c r="C27" s="1" t="s">
        <v>1560</v>
      </c>
    </row>
    <row r="28" spans="1:3" x14ac:dyDescent="0.25">
      <c r="A28" s="1">
        <v>27</v>
      </c>
      <c r="B28" s="1">
        <v>86766075300</v>
      </c>
      <c r="C28" s="1" t="s">
        <v>1561</v>
      </c>
    </row>
    <row r="29" spans="1:3" x14ac:dyDescent="0.25">
      <c r="A29" s="1">
        <v>28</v>
      </c>
      <c r="B29" s="1">
        <v>86629168985</v>
      </c>
      <c r="C29" s="1" t="s">
        <v>1562</v>
      </c>
    </row>
    <row r="30" spans="1:3" x14ac:dyDescent="0.25">
      <c r="A30" s="1">
        <v>29</v>
      </c>
      <c r="B30" s="1">
        <v>85057330748</v>
      </c>
      <c r="C30" s="1" t="s">
        <v>1563</v>
      </c>
    </row>
    <row r="31" spans="1:3" x14ac:dyDescent="0.25">
      <c r="A31" s="1">
        <v>30</v>
      </c>
      <c r="B31" s="1">
        <v>84654629642</v>
      </c>
      <c r="C31" s="1" t="s">
        <v>1564</v>
      </c>
    </row>
    <row r="32" spans="1:3" x14ac:dyDescent="0.25">
      <c r="A32" s="1">
        <v>31</v>
      </c>
      <c r="B32" s="1">
        <v>84632994542</v>
      </c>
      <c r="C32" s="1" t="s">
        <v>1565</v>
      </c>
    </row>
    <row r="33" spans="1:3" x14ac:dyDescent="0.25">
      <c r="A33" s="1">
        <v>32</v>
      </c>
      <c r="B33" s="1">
        <v>84612885471</v>
      </c>
      <c r="C33" s="1" t="s">
        <v>1566</v>
      </c>
    </row>
    <row r="34" spans="1:3" x14ac:dyDescent="0.25">
      <c r="A34" s="1">
        <v>33</v>
      </c>
      <c r="B34" s="1">
        <v>83641467558</v>
      </c>
      <c r="C34" s="1" t="s">
        <v>1567</v>
      </c>
    </row>
    <row r="35" spans="1:3" x14ac:dyDescent="0.25">
      <c r="A35" s="1">
        <v>34</v>
      </c>
      <c r="B35" s="1">
        <v>82168493105</v>
      </c>
      <c r="C35" s="1" t="s">
        <v>1568</v>
      </c>
    </row>
    <row r="36" spans="1:3" x14ac:dyDescent="0.25">
      <c r="A36" s="1">
        <v>35</v>
      </c>
      <c r="B36" s="1">
        <v>82060623752</v>
      </c>
      <c r="C36" s="1" t="s">
        <v>1569</v>
      </c>
    </row>
    <row r="37" spans="1:3" x14ac:dyDescent="0.25">
      <c r="A37" s="1">
        <v>36</v>
      </c>
      <c r="B37" s="1">
        <v>81137960582</v>
      </c>
      <c r="C37" s="1" t="s">
        <v>1570</v>
      </c>
    </row>
    <row r="38" spans="1:3" x14ac:dyDescent="0.25">
      <c r="A38" s="1">
        <v>37</v>
      </c>
      <c r="B38" s="1">
        <v>80005538947</v>
      </c>
      <c r="C38" s="1" t="s">
        <v>1571</v>
      </c>
    </row>
    <row r="39" spans="1:3" x14ac:dyDescent="0.25">
      <c r="A39" s="1">
        <v>38</v>
      </c>
      <c r="B39" s="1">
        <v>79610774199</v>
      </c>
      <c r="C39" s="1" t="s">
        <v>1572</v>
      </c>
    </row>
    <row r="40" spans="1:3" x14ac:dyDescent="0.25">
      <c r="A40" s="1">
        <v>39</v>
      </c>
      <c r="B40" s="1">
        <v>78095626798</v>
      </c>
      <c r="C40" s="1" t="s">
        <v>1573</v>
      </c>
    </row>
    <row r="41" spans="1:3" x14ac:dyDescent="0.25">
      <c r="A41" s="1">
        <v>40</v>
      </c>
      <c r="B41" s="1">
        <v>77617764011</v>
      </c>
      <c r="C41" s="1" t="s">
        <v>1574</v>
      </c>
    </row>
    <row r="42" spans="1:3" x14ac:dyDescent="0.25">
      <c r="A42" s="1">
        <v>41</v>
      </c>
      <c r="B42" s="1">
        <v>76169837316</v>
      </c>
      <c r="C42" s="1" t="s">
        <v>1575</v>
      </c>
    </row>
    <row r="43" spans="1:3" x14ac:dyDescent="0.25">
      <c r="A43" s="1">
        <v>42</v>
      </c>
      <c r="B43" s="1">
        <v>75097686130</v>
      </c>
      <c r="C43" s="1" t="s">
        <v>1576</v>
      </c>
    </row>
    <row r="44" spans="1:3" x14ac:dyDescent="0.25">
      <c r="A44" s="1">
        <v>43</v>
      </c>
      <c r="B44" s="1">
        <v>75097072565</v>
      </c>
      <c r="C44" s="1" t="s">
        <v>1577</v>
      </c>
    </row>
    <row r="45" spans="1:3" x14ac:dyDescent="0.25">
      <c r="A45" s="1">
        <v>44</v>
      </c>
      <c r="B45" s="1">
        <v>74935704619</v>
      </c>
      <c r="C45" s="1" t="s">
        <v>1578</v>
      </c>
    </row>
    <row r="46" spans="1:3" x14ac:dyDescent="0.25">
      <c r="A46" s="1">
        <v>45</v>
      </c>
      <c r="B46" s="1">
        <v>74848500748</v>
      </c>
      <c r="C46" s="1" t="s">
        <v>1579</v>
      </c>
    </row>
    <row r="47" spans="1:3" x14ac:dyDescent="0.25">
      <c r="A47" s="1">
        <v>46</v>
      </c>
      <c r="B47" s="1">
        <v>74629274540</v>
      </c>
      <c r="C47" s="1" t="s">
        <v>1580</v>
      </c>
    </row>
    <row r="48" spans="1:3" x14ac:dyDescent="0.25">
      <c r="A48" s="1">
        <v>47</v>
      </c>
      <c r="B48" s="1">
        <v>74096169416</v>
      </c>
      <c r="C48" s="1" t="s">
        <v>1581</v>
      </c>
    </row>
    <row r="49" spans="1:3" x14ac:dyDescent="0.25">
      <c r="A49" s="1">
        <v>48</v>
      </c>
      <c r="B49" s="1">
        <v>74091546735</v>
      </c>
      <c r="C49" s="1" t="s">
        <v>1582</v>
      </c>
    </row>
    <row r="50" spans="1:3" x14ac:dyDescent="0.25">
      <c r="A50" s="1">
        <v>49</v>
      </c>
      <c r="B50" s="1">
        <v>74073575201</v>
      </c>
      <c r="C50" s="1" t="s">
        <v>1583</v>
      </c>
    </row>
    <row r="51" spans="1:3" x14ac:dyDescent="0.25">
      <c r="A51" s="1">
        <v>50</v>
      </c>
      <c r="B51" s="1">
        <v>74002940301</v>
      </c>
      <c r="C51" s="1" t="s">
        <v>1584</v>
      </c>
    </row>
    <row r="52" spans="1:3" x14ac:dyDescent="0.25">
      <c r="A52" s="1">
        <v>51</v>
      </c>
      <c r="B52" s="1">
        <v>73634522946</v>
      </c>
      <c r="C52" s="1" t="s">
        <v>1585</v>
      </c>
    </row>
    <row r="53" spans="1:3" x14ac:dyDescent="0.25">
      <c r="A53" s="1">
        <v>52</v>
      </c>
      <c r="B53" s="1">
        <v>73615246118</v>
      </c>
      <c r="C53" s="1" t="s">
        <v>1586</v>
      </c>
    </row>
    <row r="54" spans="1:3" x14ac:dyDescent="0.25">
      <c r="A54" s="1">
        <v>53</v>
      </c>
      <c r="B54" s="1">
        <v>73065624295</v>
      </c>
      <c r="C54" s="1" t="s">
        <v>1587</v>
      </c>
    </row>
    <row r="55" spans="1:3" x14ac:dyDescent="0.25">
      <c r="A55" s="1">
        <v>54</v>
      </c>
      <c r="B55" s="1">
        <v>72633993218</v>
      </c>
      <c r="C55" s="1" t="s">
        <v>1588</v>
      </c>
    </row>
    <row r="56" spans="1:3" x14ac:dyDescent="0.25">
      <c r="A56" s="1">
        <v>55</v>
      </c>
      <c r="B56" s="1">
        <v>72615255466</v>
      </c>
      <c r="C56" s="1" t="s">
        <v>1589</v>
      </c>
    </row>
    <row r="57" spans="1:3" x14ac:dyDescent="0.25">
      <c r="A57" s="1">
        <v>56</v>
      </c>
      <c r="B57" s="1">
        <v>72001231607</v>
      </c>
      <c r="C57" s="1" t="s">
        <v>1590</v>
      </c>
    </row>
    <row r="58" spans="1:3" x14ac:dyDescent="0.25">
      <c r="A58" s="1">
        <v>57</v>
      </c>
      <c r="B58" s="1">
        <v>71630275222</v>
      </c>
      <c r="C58" s="1" t="s">
        <v>1591</v>
      </c>
    </row>
    <row r="59" spans="1:3" x14ac:dyDescent="0.25">
      <c r="A59" s="1">
        <v>58</v>
      </c>
      <c r="B59" s="1">
        <v>71083902309</v>
      </c>
      <c r="C59" s="1" t="s">
        <v>1592</v>
      </c>
    </row>
    <row r="60" spans="1:3" x14ac:dyDescent="0.25">
      <c r="A60" s="1">
        <v>59</v>
      </c>
      <c r="B60" s="1">
        <v>70612915367</v>
      </c>
      <c r="C60" s="1" t="s">
        <v>1593</v>
      </c>
    </row>
    <row r="61" spans="1:3" x14ac:dyDescent="0.25">
      <c r="A61" s="1">
        <v>60</v>
      </c>
      <c r="B61" s="1">
        <v>70147790261</v>
      </c>
      <c r="C61" s="1" t="s">
        <v>1594</v>
      </c>
    </row>
    <row r="62" spans="1:3" x14ac:dyDescent="0.25">
      <c r="A62" s="1">
        <v>61</v>
      </c>
      <c r="B62" s="1">
        <v>70082016608</v>
      </c>
      <c r="C62" s="1" t="s">
        <v>1595</v>
      </c>
    </row>
    <row r="63" spans="1:3" x14ac:dyDescent="0.25">
      <c r="A63" s="1">
        <v>62</v>
      </c>
      <c r="B63" s="1">
        <v>70068064817</v>
      </c>
      <c r="C63" s="1" t="s">
        <v>1596</v>
      </c>
    </row>
    <row r="64" spans="1:3" x14ac:dyDescent="0.25">
      <c r="A64" s="1">
        <v>63</v>
      </c>
      <c r="B64" s="1">
        <v>68609740105</v>
      </c>
      <c r="C64" s="1" t="s">
        <v>1597</v>
      </c>
    </row>
    <row r="65" spans="1:3" x14ac:dyDescent="0.25">
      <c r="A65" s="1">
        <v>64</v>
      </c>
      <c r="B65" s="1">
        <v>67642143324</v>
      </c>
      <c r="C65" s="1" t="s">
        <v>1598</v>
      </c>
    </row>
    <row r="66" spans="1:3" x14ac:dyDescent="0.25">
      <c r="A66" s="1">
        <v>65</v>
      </c>
      <c r="B66" s="1">
        <v>66104162352</v>
      </c>
      <c r="C66" s="1" t="s">
        <v>1599</v>
      </c>
    </row>
    <row r="67" spans="1:3" x14ac:dyDescent="0.25">
      <c r="A67" s="1">
        <v>66</v>
      </c>
      <c r="B67" s="1">
        <v>65631934971</v>
      </c>
      <c r="C67" s="1" t="s">
        <v>1600</v>
      </c>
    </row>
    <row r="68" spans="1:3" x14ac:dyDescent="0.25">
      <c r="A68" s="1">
        <v>67</v>
      </c>
      <c r="B68" s="1">
        <v>65006694702</v>
      </c>
      <c r="C68" s="1" t="s">
        <v>1601</v>
      </c>
    </row>
    <row r="69" spans="1:3" x14ac:dyDescent="0.25">
      <c r="A69" s="1">
        <v>68</v>
      </c>
      <c r="B69" s="1">
        <v>62008668291</v>
      </c>
      <c r="C69" s="1" t="s">
        <v>1602</v>
      </c>
    </row>
    <row r="70" spans="1:3" x14ac:dyDescent="0.25">
      <c r="A70" s="1">
        <v>69</v>
      </c>
      <c r="B70" s="1">
        <v>61602493872</v>
      </c>
      <c r="C70" s="1" t="s">
        <v>1603</v>
      </c>
    </row>
    <row r="71" spans="1:3" x14ac:dyDescent="0.25">
      <c r="A71" s="1">
        <v>70</v>
      </c>
      <c r="B71" s="1">
        <v>61130823933</v>
      </c>
      <c r="C71" s="1" t="s">
        <v>1604</v>
      </c>
    </row>
    <row r="72" spans="1:3" x14ac:dyDescent="0.25">
      <c r="A72" s="1">
        <v>71</v>
      </c>
      <c r="B72" s="1">
        <v>61126104489</v>
      </c>
      <c r="C72" s="1" t="s">
        <v>1605</v>
      </c>
    </row>
    <row r="73" spans="1:3" x14ac:dyDescent="0.25">
      <c r="A73" s="1">
        <v>72</v>
      </c>
      <c r="B73" s="1">
        <v>60661051565</v>
      </c>
      <c r="C73" s="1" t="s">
        <v>1606</v>
      </c>
    </row>
    <row r="74" spans="1:3" x14ac:dyDescent="0.25">
      <c r="A74" s="1">
        <v>73</v>
      </c>
      <c r="B74" s="1">
        <v>59632942584</v>
      </c>
      <c r="C74" s="1" t="s">
        <v>1607</v>
      </c>
    </row>
    <row r="75" spans="1:3" x14ac:dyDescent="0.25">
      <c r="A75" s="1">
        <v>74</v>
      </c>
      <c r="B75" s="1">
        <v>59618362584</v>
      </c>
      <c r="C75" s="1" t="s">
        <v>1608</v>
      </c>
    </row>
    <row r="76" spans="1:3" x14ac:dyDescent="0.25">
      <c r="A76" s="1">
        <v>75</v>
      </c>
      <c r="B76" s="1">
        <v>59607689289</v>
      </c>
      <c r="C76" s="1" t="s">
        <v>1609</v>
      </c>
    </row>
    <row r="77" spans="1:3" x14ac:dyDescent="0.25">
      <c r="A77" s="1">
        <v>76</v>
      </c>
      <c r="B77" s="1">
        <v>59147526583</v>
      </c>
      <c r="C77" s="1" t="s">
        <v>1610</v>
      </c>
    </row>
    <row r="78" spans="1:3" x14ac:dyDescent="0.25">
      <c r="A78" s="1">
        <v>77</v>
      </c>
      <c r="B78" s="1">
        <v>58159730174</v>
      </c>
      <c r="C78" s="1" t="s">
        <v>1611</v>
      </c>
    </row>
    <row r="79" spans="1:3" x14ac:dyDescent="0.25">
      <c r="A79" s="1">
        <v>78</v>
      </c>
      <c r="B79" s="1">
        <v>58133136400</v>
      </c>
      <c r="C79" s="1" t="s">
        <v>1612</v>
      </c>
    </row>
    <row r="80" spans="1:3" x14ac:dyDescent="0.25">
      <c r="A80" s="1">
        <v>79</v>
      </c>
      <c r="B80" s="1">
        <v>58050275020</v>
      </c>
      <c r="C80" s="1" t="s">
        <v>1613</v>
      </c>
    </row>
    <row r="81" spans="1:3" x14ac:dyDescent="0.25">
      <c r="A81" s="1">
        <v>80</v>
      </c>
      <c r="B81" s="1">
        <v>57241050567</v>
      </c>
      <c r="C81" s="1" t="s">
        <v>1614</v>
      </c>
    </row>
    <row r="82" spans="1:3" x14ac:dyDescent="0.25">
      <c r="A82" s="1">
        <v>81</v>
      </c>
      <c r="B82" s="1">
        <v>57109822246</v>
      </c>
      <c r="C82" s="1" t="s">
        <v>1615</v>
      </c>
    </row>
    <row r="83" spans="1:3" x14ac:dyDescent="0.25">
      <c r="A83" s="1">
        <v>82</v>
      </c>
      <c r="B83" s="1">
        <v>56072772037</v>
      </c>
      <c r="C83" s="1" t="s">
        <v>1616</v>
      </c>
    </row>
    <row r="84" spans="1:3" x14ac:dyDescent="0.25">
      <c r="A84" s="1">
        <v>83</v>
      </c>
      <c r="B84" s="1">
        <v>53899106565</v>
      </c>
      <c r="C84" s="1" t="s">
        <v>1617</v>
      </c>
    </row>
    <row r="85" spans="1:3" x14ac:dyDescent="0.25">
      <c r="A85" s="1">
        <v>84</v>
      </c>
      <c r="B85" s="1">
        <v>53623928003</v>
      </c>
      <c r="C85" s="1" t="s">
        <v>1618</v>
      </c>
    </row>
    <row r="86" spans="1:3" x14ac:dyDescent="0.25">
      <c r="A86" s="1">
        <v>85</v>
      </c>
      <c r="B86" s="1">
        <v>53603953019</v>
      </c>
      <c r="C86" s="1" t="s">
        <v>1619</v>
      </c>
    </row>
    <row r="87" spans="1:3" x14ac:dyDescent="0.25">
      <c r="A87" s="1">
        <v>86</v>
      </c>
      <c r="B87" s="1">
        <v>53104620322</v>
      </c>
      <c r="C87" s="1" t="s">
        <v>1620</v>
      </c>
    </row>
    <row r="88" spans="1:3" x14ac:dyDescent="0.25">
      <c r="A88" s="1">
        <v>87</v>
      </c>
      <c r="B88" s="1">
        <v>53001215327</v>
      </c>
      <c r="C88" s="1" t="s">
        <v>1621</v>
      </c>
    </row>
    <row r="89" spans="1:3" x14ac:dyDescent="0.25">
      <c r="A89" s="1">
        <v>88</v>
      </c>
      <c r="B89" s="1">
        <v>53000102376</v>
      </c>
      <c r="C89" s="1" t="s">
        <v>1622</v>
      </c>
    </row>
    <row r="90" spans="1:3" x14ac:dyDescent="0.25">
      <c r="A90" s="1">
        <v>89</v>
      </c>
      <c r="B90" s="1">
        <v>52600073087</v>
      </c>
      <c r="C90" s="1" t="s">
        <v>1623</v>
      </c>
    </row>
    <row r="91" spans="1:3" x14ac:dyDescent="0.25">
      <c r="A91" s="1">
        <v>90</v>
      </c>
      <c r="B91" s="1">
        <v>51624255223</v>
      </c>
      <c r="C91" s="1" t="s">
        <v>1624</v>
      </c>
    </row>
    <row r="92" spans="1:3" x14ac:dyDescent="0.25">
      <c r="A92" s="1">
        <v>91</v>
      </c>
      <c r="B92" s="1">
        <v>51064081956</v>
      </c>
      <c r="C92" s="1" t="s">
        <v>1625</v>
      </c>
    </row>
    <row r="93" spans="1:3" x14ac:dyDescent="0.25">
      <c r="A93" s="1">
        <v>92</v>
      </c>
      <c r="B93" s="1">
        <v>50614066223</v>
      </c>
      <c r="C93" s="1" t="s">
        <v>1626</v>
      </c>
    </row>
    <row r="94" spans="1:3" x14ac:dyDescent="0.25">
      <c r="A94" s="1">
        <v>93</v>
      </c>
      <c r="B94" s="1">
        <v>50152638447</v>
      </c>
      <c r="C94" s="1" t="s">
        <v>1627</v>
      </c>
    </row>
    <row r="95" spans="1:3" x14ac:dyDescent="0.25">
      <c r="A95" s="1">
        <v>94</v>
      </c>
      <c r="B95" s="1">
        <v>50140551104</v>
      </c>
      <c r="C95" s="1" t="s">
        <v>1628</v>
      </c>
    </row>
    <row r="96" spans="1:3" x14ac:dyDescent="0.25">
      <c r="A96" s="1">
        <v>95</v>
      </c>
      <c r="B96" s="1">
        <v>50092239113</v>
      </c>
      <c r="C96" s="1" t="s">
        <v>1629</v>
      </c>
    </row>
    <row r="97" spans="1:3" x14ac:dyDescent="0.25">
      <c r="A97" s="1">
        <v>96</v>
      </c>
      <c r="B97" s="1">
        <v>50077737396</v>
      </c>
      <c r="C97" s="1" t="s">
        <v>1630</v>
      </c>
    </row>
    <row r="98" spans="1:3" x14ac:dyDescent="0.25">
      <c r="A98" s="1">
        <v>97</v>
      </c>
      <c r="B98" s="1">
        <v>49157958177</v>
      </c>
      <c r="C98" s="1" t="s">
        <v>1631</v>
      </c>
    </row>
    <row r="99" spans="1:3" x14ac:dyDescent="0.25">
      <c r="A99" s="1">
        <v>98</v>
      </c>
      <c r="B99" s="1">
        <v>49115288527</v>
      </c>
      <c r="C99" s="1" t="s">
        <v>1632</v>
      </c>
    </row>
    <row r="100" spans="1:3" x14ac:dyDescent="0.25">
      <c r="A100" s="1">
        <v>99</v>
      </c>
      <c r="B100" s="1">
        <v>48642527259</v>
      </c>
      <c r="C100" s="1" t="s">
        <v>1633</v>
      </c>
    </row>
    <row r="101" spans="1:3" x14ac:dyDescent="0.25">
      <c r="A101" s="1">
        <v>100</v>
      </c>
      <c r="B101" s="1">
        <v>48109484004</v>
      </c>
      <c r="C101" s="1" t="s">
        <v>1634</v>
      </c>
    </row>
    <row r="102" spans="1:3" x14ac:dyDescent="0.25">
      <c r="A102" s="1">
        <v>101</v>
      </c>
      <c r="B102" s="1">
        <v>47602908092</v>
      </c>
      <c r="C102" s="1" t="s">
        <v>1635</v>
      </c>
    </row>
    <row r="103" spans="1:3" x14ac:dyDescent="0.25">
      <c r="A103" s="1">
        <v>102</v>
      </c>
      <c r="B103" s="1">
        <v>46767068752</v>
      </c>
      <c r="C103" s="1" t="s">
        <v>1636</v>
      </c>
    </row>
    <row r="104" spans="1:3" x14ac:dyDescent="0.25">
      <c r="A104" s="1">
        <v>103</v>
      </c>
      <c r="B104" s="1">
        <v>46650016872</v>
      </c>
      <c r="C104" s="1" t="s">
        <v>1637</v>
      </c>
    </row>
    <row r="105" spans="1:3" x14ac:dyDescent="0.25">
      <c r="A105" s="1">
        <v>104</v>
      </c>
      <c r="B105" s="1">
        <v>46151524604</v>
      </c>
      <c r="C105" s="1" t="s">
        <v>1638</v>
      </c>
    </row>
    <row r="106" spans="1:3" x14ac:dyDescent="0.25">
      <c r="A106" s="1">
        <v>105</v>
      </c>
      <c r="B106" s="1">
        <v>46009671809</v>
      </c>
      <c r="C106" s="1" t="s">
        <v>1639</v>
      </c>
    </row>
    <row r="107" spans="1:3" x14ac:dyDescent="0.25">
      <c r="A107" s="1">
        <v>106</v>
      </c>
      <c r="B107" s="1">
        <v>45628502410</v>
      </c>
      <c r="C107" s="1" t="s">
        <v>1640</v>
      </c>
    </row>
    <row r="108" spans="1:3" x14ac:dyDescent="0.25">
      <c r="A108" s="1">
        <v>107</v>
      </c>
      <c r="B108" s="1">
        <v>45079929687</v>
      </c>
      <c r="C108" s="1" t="s">
        <v>1641</v>
      </c>
    </row>
    <row r="109" spans="1:3" x14ac:dyDescent="0.25">
      <c r="A109" s="1">
        <v>108</v>
      </c>
      <c r="B109" s="1">
        <v>44636135094</v>
      </c>
      <c r="C109" s="1" t="s">
        <v>1642</v>
      </c>
    </row>
    <row r="110" spans="1:3" x14ac:dyDescent="0.25">
      <c r="A110" s="1">
        <v>109</v>
      </c>
      <c r="B110" s="1">
        <v>44630948739</v>
      </c>
      <c r="C110" s="1" t="s">
        <v>1643</v>
      </c>
    </row>
    <row r="111" spans="1:3" x14ac:dyDescent="0.25">
      <c r="A111" s="1">
        <v>110</v>
      </c>
      <c r="B111" s="1">
        <v>44147169748</v>
      </c>
      <c r="C111" s="1" t="s">
        <v>1644</v>
      </c>
    </row>
    <row r="112" spans="1:3" x14ac:dyDescent="0.25">
      <c r="A112" s="1">
        <v>111</v>
      </c>
      <c r="B112" s="1">
        <v>44113903772</v>
      </c>
      <c r="C112" s="1" t="s">
        <v>1645</v>
      </c>
    </row>
    <row r="113" spans="1:3" x14ac:dyDescent="0.25">
      <c r="A113" s="1">
        <v>112</v>
      </c>
      <c r="B113" s="1">
        <v>42615203800</v>
      </c>
      <c r="C113" s="1" t="s">
        <v>1646</v>
      </c>
    </row>
    <row r="114" spans="1:3" x14ac:dyDescent="0.25">
      <c r="A114" s="1">
        <v>113</v>
      </c>
      <c r="B114" s="1">
        <v>42137934055</v>
      </c>
      <c r="C114" s="1" t="s">
        <v>1647</v>
      </c>
    </row>
    <row r="115" spans="1:3" x14ac:dyDescent="0.25">
      <c r="A115" s="1">
        <v>114</v>
      </c>
      <c r="B115" s="1">
        <v>41813267182</v>
      </c>
      <c r="C115" s="1" t="s">
        <v>1648</v>
      </c>
    </row>
    <row r="116" spans="1:3" x14ac:dyDescent="0.25">
      <c r="A116" s="1">
        <v>115</v>
      </c>
      <c r="B116" s="1">
        <v>41638942131</v>
      </c>
      <c r="C116" s="1" t="s">
        <v>1649</v>
      </c>
    </row>
    <row r="117" spans="1:3" x14ac:dyDescent="0.25">
      <c r="A117" s="1">
        <v>116</v>
      </c>
      <c r="B117" s="1">
        <v>41612483011</v>
      </c>
      <c r="C117" s="1" t="s">
        <v>1650</v>
      </c>
    </row>
    <row r="118" spans="1:3" x14ac:dyDescent="0.25">
      <c r="A118" s="1">
        <v>117</v>
      </c>
      <c r="B118" s="1">
        <v>41609980726</v>
      </c>
      <c r="C118" s="1" t="s">
        <v>1651</v>
      </c>
    </row>
    <row r="119" spans="1:3" x14ac:dyDescent="0.25">
      <c r="A119" s="1">
        <v>118</v>
      </c>
      <c r="B119" s="1">
        <v>40150650150</v>
      </c>
      <c r="C119" s="1" t="s">
        <v>1652</v>
      </c>
    </row>
    <row r="120" spans="1:3" x14ac:dyDescent="0.25">
      <c r="A120" s="1">
        <v>119</v>
      </c>
      <c r="B120" s="1">
        <v>40078243526</v>
      </c>
      <c r="C120" s="1" t="s">
        <v>1653</v>
      </c>
    </row>
    <row r="121" spans="1:3" x14ac:dyDescent="0.25">
      <c r="A121" s="1">
        <v>120</v>
      </c>
      <c r="B121" s="1">
        <v>38628981617</v>
      </c>
      <c r="C121" s="1" t="s">
        <v>1654</v>
      </c>
    </row>
    <row r="122" spans="1:3" x14ac:dyDescent="0.25">
      <c r="A122" s="1">
        <v>121</v>
      </c>
      <c r="B122" s="1">
        <v>38117317085</v>
      </c>
      <c r="C122" s="1" t="s">
        <v>1655</v>
      </c>
    </row>
    <row r="123" spans="1:3" x14ac:dyDescent="0.25">
      <c r="A123" s="1">
        <v>122</v>
      </c>
      <c r="B123" s="1">
        <v>38093127256</v>
      </c>
      <c r="C123" s="1" t="s">
        <v>1656</v>
      </c>
    </row>
    <row r="124" spans="1:3" x14ac:dyDescent="0.25">
      <c r="A124" s="1">
        <v>123</v>
      </c>
      <c r="B124" s="1">
        <v>37629333946</v>
      </c>
      <c r="C124" s="1" t="s">
        <v>1657</v>
      </c>
    </row>
    <row r="125" spans="1:3" x14ac:dyDescent="0.25">
      <c r="A125" s="1">
        <v>124</v>
      </c>
      <c r="B125" s="1">
        <v>37603737935</v>
      </c>
      <c r="C125" s="1" t="s">
        <v>1658</v>
      </c>
    </row>
    <row r="126" spans="1:3" x14ac:dyDescent="0.25">
      <c r="A126" s="1">
        <v>125</v>
      </c>
      <c r="B126" s="1">
        <v>37094906028</v>
      </c>
      <c r="C126" s="1" t="s">
        <v>1659</v>
      </c>
    </row>
    <row r="127" spans="1:3" x14ac:dyDescent="0.25">
      <c r="A127" s="1">
        <v>126</v>
      </c>
      <c r="B127" s="1">
        <v>37000615056</v>
      </c>
      <c r="C127" s="1" t="s">
        <v>1660</v>
      </c>
    </row>
    <row r="128" spans="1:3" x14ac:dyDescent="0.25">
      <c r="A128" s="1">
        <v>127</v>
      </c>
      <c r="B128" s="1">
        <v>36159996095</v>
      </c>
      <c r="C128" s="1" t="s">
        <v>1661</v>
      </c>
    </row>
    <row r="129" spans="1:3" x14ac:dyDescent="0.25">
      <c r="A129" s="1">
        <v>128</v>
      </c>
      <c r="B129" s="1">
        <v>35009674195</v>
      </c>
      <c r="C129" s="1" t="s">
        <v>1662</v>
      </c>
    </row>
    <row r="130" spans="1:3" x14ac:dyDescent="0.25">
      <c r="A130" s="1">
        <v>129</v>
      </c>
      <c r="B130" s="1">
        <v>34626019396</v>
      </c>
      <c r="C130" s="1" t="s">
        <v>1663</v>
      </c>
    </row>
    <row r="131" spans="1:3" x14ac:dyDescent="0.25">
      <c r="A131" s="1">
        <v>130</v>
      </c>
      <c r="B131" s="1">
        <v>34167594685</v>
      </c>
      <c r="C131" s="1" t="s">
        <v>1664</v>
      </c>
    </row>
    <row r="132" spans="1:3" x14ac:dyDescent="0.25">
      <c r="A132" s="1">
        <v>131</v>
      </c>
      <c r="B132" s="1">
        <v>34155134795</v>
      </c>
      <c r="C132" s="1" t="s">
        <v>1665</v>
      </c>
    </row>
    <row r="133" spans="1:3" x14ac:dyDescent="0.25">
      <c r="A133" s="1">
        <v>132</v>
      </c>
      <c r="B133" s="1">
        <v>34000526385</v>
      </c>
      <c r="C133" s="1" t="s">
        <v>1666</v>
      </c>
    </row>
    <row r="134" spans="1:3" x14ac:dyDescent="0.25">
      <c r="A134" s="1">
        <v>133</v>
      </c>
      <c r="B134" s="1">
        <v>33631206178</v>
      </c>
      <c r="C134" s="1" t="s">
        <v>1667</v>
      </c>
    </row>
    <row r="135" spans="1:3" x14ac:dyDescent="0.25">
      <c r="A135" s="1">
        <v>134</v>
      </c>
      <c r="B135" s="1">
        <v>33624597048</v>
      </c>
      <c r="C135" s="1" t="s">
        <v>1668</v>
      </c>
    </row>
    <row r="136" spans="1:3" x14ac:dyDescent="0.25">
      <c r="A136" s="1">
        <v>135</v>
      </c>
      <c r="B136" s="1">
        <v>31475957719</v>
      </c>
      <c r="C136" s="1" t="s">
        <v>1669</v>
      </c>
    </row>
    <row r="137" spans="1:3" x14ac:dyDescent="0.25">
      <c r="A137" s="1">
        <v>136</v>
      </c>
      <c r="B137" s="1">
        <v>31114014667</v>
      </c>
      <c r="C137" s="1" t="s">
        <v>1670</v>
      </c>
    </row>
    <row r="138" spans="1:3" x14ac:dyDescent="0.25">
      <c r="A138" s="1">
        <v>137</v>
      </c>
      <c r="B138" s="1">
        <v>30665847932</v>
      </c>
      <c r="C138" s="1" t="s">
        <v>1671</v>
      </c>
    </row>
    <row r="139" spans="1:3" x14ac:dyDescent="0.25">
      <c r="A139" s="1">
        <v>138</v>
      </c>
      <c r="B139" s="1">
        <v>30626198847</v>
      </c>
      <c r="C139" s="1" t="s">
        <v>1672</v>
      </c>
    </row>
    <row r="140" spans="1:3" x14ac:dyDescent="0.25">
      <c r="A140" s="1">
        <v>139</v>
      </c>
      <c r="B140" s="1">
        <v>30099948786</v>
      </c>
      <c r="C140" s="1" t="s">
        <v>1673</v>
      </c>
    </row>
    <row r="141" spans="1:3" x14ac:dyDescent="0.25">
      <c r="A141" s="1">
        <v>140</v>
      </c>
      <c r="B141" s="1">
        <v>28068134672</v>
      </c>
      <c r="C141" s="1" t="s">
        <v>1674</v>
      </c>
    </row>
    <row r="142" spans="1:3" x14ac:dyDescent="0.25">
      <c r="A142" s="1">
        <v>141</v>
      </c>
      <c r="B142" s="1">
        <v>27624650406</v>
      </c>
      <c r="C142" s="1" t="s">
        <v>1675</v>
      </c>
    </row>
    <row r="143" spans="1:3" x14ac:dyDescent="0.25">
      <c r="A143" s="1">
        <v>142</v>
      </c>
      <c r="B143" s="1">
        <v>26639030774</v>
      </c>
      <c r="C143" s="1" t="s">
        <v>1676</v>
      </c>
    </row>
    <row r="144" spans="1:3" x14ac:dyDescent="0.25">
      <c r="A144" s="1">
        <v>143</v>
      </c>
      <c r="B144" s="1">
        <v>25100435363</v>
      </c>
      <c r="C144" s="1" t="s">
        <v>1677</v>
      </c>
    </row>
    <row r="145" spans="1:3" x14ac:dyDescent="0.25">
      <c r="A145" s="1">
        <v>144</v>
      </c>
      <c r="B145" s="1">
        <v>25005099632</v>
      </c>
      <c r="C145" s="1" t="s">
        <v>1678</v>
      </c>
    </row>
    <row r="146" spans="1:3" x14ac:dyDescent="0.25">
      <c r="A146" s="1">
        <v>145</v>
      </c>
      <c r="B146" s="1">
        <v>24617070407</v>
      </c>
      <c r="C146" s="1" t="s">
        <v>1679</v>
      </c>
    </row>
    <row r="147" spans="1:3" x14ac:dyDescent="0.25">
      <c r="A147" s="1">
        <v>146</v>
      </c>
      <c r="B147" s="1">
        <v>24611730002</v>
      </c>
      <c r="C147" s="1" t="s">
        <v>1680</v>
      </c>
    </row>
    <row r="148" spans="1:3" x14ac:dyDescent="0.25">
      <c r="A148" s="1">
        <v>147</v>
      </c>
      <c r="B148" s="1">
        <v>22295128214</v>
      </c>
      <c r="C148" s="1" t="s">
        <v>1681</v>
      </c>
    </row>
    <row r="149" spans="1:3" x14ac:dyDescent="0.25">
      <c r="A149" s="1">
        <v>148</v>
      </c>
      <c r="B149" s="1">
        <v>20654502557</v>
      </c>
      <c r="C149" s="1" t="s">
        <v>1682</v>
      </c>
    </row>
    <row r="150" spans="1:3" x14ac:dyDescent="0.25">
      <c r="A150" s="1">
        <v>149</v>
      </c>
      <c r="B150" s="1">
        <v>20142894844</v>
      </c>
      <c r="C150" s="1" t="s">
        <v>1683</v>
      </c>
    </row>
    <row r="151" spans="1:3" x14ac:dyDescent="0.25">
      <c r="A151" s="1">
        <v>150</v>
      </c>
      <c r="B151" s="1">
        <v>18163328694</v>
      </c>
      <c r="C151" s="1" t="s">
        <v>1684</v>
      </c>
    </row>
    <row r="152" spans="1:3" x14ac:dyDescent="0.25">
      <c r="A152" s="1">
        <v>151</v>
      </c>
      <c r="B152" s="1">
        <v>17613791512</v>
      </c>
      <c r="C152" s="1" t="s">
        <v>1685</v>
      </c>
    </row>
    <row r="153" spans="1:3" x14ac:dyDescent="0.25">
      <c r="A153" s="1">
        <v>152</v>
      </c>
      <c r="B153" s="1">
        <v>16131093466</v>
      </c>
      <c r="C153" s="1" t="s">
        <v>1686</v>
      </c>
    </row>
    <row r="154" spans="1:3" x14ac:dyDescent="0.25">
      <c r="A154" s="1">
        <v>153</v>
      </c>
      <c r="B154" s="1">
        <v>16103223721</v>
      </c>
      <c r="C154" s="1" t="s">
        <v>1687</v>
      </c>
    </row>
    <row r="155" spans="1:3" x14ac:dyDescent="0.25">
      <c r="A155" s="1">
        <v>154</v>
      </c>
      <c r="B155" s="1">
        <v>15641290376</v>
      </c>
      <c r="C155" s="1" t="s">
        <v>1688</v>
      </c>
    </row>
    <row r="156" spans="1:3" x14ac:dyDescent="0.25">
      <c r="A156" s="1">
        <v>155</v>
      </c>
      <c r="B156" s="1">
        <v>15118155785</v>
      </c>
      <c r="C156" s="1" t="s">
        <v>1689</v>
      </c>
    </row>
    <row r="157" spans="1:3" x14ac:dyDescent="0.25">
      <c r="A157" s="1">
        <v>156</v>
      </c>
      <c r="B157" s="1">
        <v>15082559920</v>
      </c>
      <c r="C157" s="1" t="s">
        <v>1690</v>
      </c>
    </row>
    <row r="158" spans="1:3" x14ac:dyDescent="0.25">
      <c r="A158" s="1">
        <v>157</v>
      </c>
      <c r="B158" s="1">
        <v>15082074708</v>
      </c>
      <c r="C158" s="1" t="s">
        <v>1691</v>
      </c>
    </row>
    <row r="159" spans="1:3" x14ac:dyDescent="0.25">
      <c r="A159" s="1">
        <v>158</v>
      </c>
      <c r="B159" s="1">
        <v>15002617736</v>
      </c>
      <c r="C159" s="1" t="s">
        <v>1692</v>
      </c>
    </row>
    <row r="160" spans="1:3" x14ac:dyDescent="0.25">
      <c r="A160" s="1">
        <v>159</v>
      </c>
      <c r="B160" s="1">
        <v>14147834133</v>
      </c>
      <c r="C160" s="1" t="s">
        <v>1693</v>
      </c>
    </row>
    <row r="161" spans="1:3" x14ac:dyDescent="0.25">
      <c r="A161" s="1">
        <v>160</v>
      </c>
      <c r="B161" s="1">
        <v>13127365039</v>
      </c>
      <c r="C161" s="1" t="s">
        <v>1694</v>
      </c>
    </row>
    <row r="162" spans="1:3" x14ac:dyDescent="0.25">
      <c r="A162" s="1">
        <v>161</v>
      </c>
      <c r="B162" s="1">
        <v>12611161829</v>
      </c>
      <c r="C162" s="1" t="s">
        <v>1695</v>
      </c>
    </row>
    <row r="163" spans="1:3" x14ac:dyDescent="0.25">
      <c r="A163" s="1">
        <v>162</v>
      </c>
      <c r="B163" s="1">
        <v>12055966802</v>
      </c>
      <c r="C163" s="1" t="s">
        <v>1696</v>
      </c>
    </row>
    <row r="164" spans="1:3" x14ac:dyDescent="0.25">
      <c r="A164" s="1">
        <v>163</v>
      </c>
      <c r="B164" s="1">
        <v>11165683349</v>
      </c>
      <c r="C164" s="1" t="s">
        <v>1697</v>
      </c>
    </row>
    <row r="165" spans="1:3" x14ac:dyDescent="0.25">
      <c r="A165" s="1">
        <v>164</v>
      </c>
      <c r="B165" s="1">
        <v>11158707629</v>
      </c>
      <c r="C165" s="1" t="s">
        <v>1698</v>
      </c>
    </row>
    <row r="166" spans="1:3" x14ac:dyDescent="0.25">
      <c r="A166" s="1">
        <v>165</v>
      </c>
      <c r="B166" s="1">
        <v>11124779148</v>
      </c>
      <c r="C166" s="1" t="s">
        <v>1699</v>
      </c>
    </row>
    <row r="167" spans="1:3" x14ac:dyDescent="0.25">
      <c r="A167" s="1">
        <v>166</v>
      </c>
      <c r="B167" s="1">
        <v>11091247951</v>
      </c>
      <c r="C167" s="1" t="s">
        <v>1700</v>
      </c>
    </row>
    <row r="168" spans="1:3" x14ac:dyDescent="0.25">
      <c r="A168" s="1">
        <v>167</v>
      </c>
      <c r="B168" s="1">
        <v>99621855025</v>
      </c>
      <c r="C168" s="1" t="s">
        <v>1701</v>
      </c>
    </row>
    <row r="169" spans="1:3" x14ac:dyDescent="0.25">
      <c r="A169" s="1">
        <v>168</v>
      </c>
      <c r="B169" s="1">
        <v>99074126971</v>
      </c>
      <c r="C169" s="1" t="s">
        <v>1702</v>
      </c>
    </row>
    <row r="170" spans="1:3" x14ac:dyDescent="0.25">
      <c r="A170" s="1">
        <v>169</v>
      </c>
      <c r="B170" s="1">
        <v>97133373154</v>
      </c>
      <c r="C170" s="1" t="s">
        <v>1703</v>
      </c>
    </row>
    <row r="171" spans="1:3" x14ac:dyDescent="0.25">
      <c r="A171" s="1">
        <v>170</v>
      </c>
      <c r="B171" s="1">
        <v>96145874344</v>
      </c>
      <c r="C171" s="1" t="s">
        <v>1704</v>
      </c>
    </row>
    <row r="172" spans="1:3" x14ac:dyDescent="0.25">
      <c r="A172" s="1">
        <v>171</v>
      </c>
      <c r="B172" s="1">
        <v>92009940989</v>
      </c>
      <c r="C172" s="1" t="s">
        <v>1705</v>
      </c>
    </row>
    <row r="173" spans="1:3" x14ac:dyDescent="0.25">
      <c r="A173" s="1">
        <v>172</v>
      </c>
      <c r="B173" s="1">
        <v>87099732297</v>
      </c>
      <c r="C173" s="1" t="s">
        <v>1706</v>
      </c>
    </row>
    <row r="174" spans="1:3" x14ac:dyDescent="0.25">
      <c r="A174" s="1">
        <v>173</v>
      </c>
      <c r="B174" s="1">
        <v>84161973413</v>
      </c>
      <c r="C174" s="1" t="s">
        <v>1707</v>
      </c>
    </row>
    <row r="175" spans="1:3" x14ac:dyDescent="0.25">
      <c r="A175" s="1">
        <v>174</v>
      </c>
      <c r="B175" s="1">
        <v>82099070872</v>
      </c>
      <c r="C175" s="1" t="s">
        <v>1708</v>
      </c>
    </row>
    <row r="176" spans="1:3" x14ac:dyDescent="0.25">
      <c r="A176" s="1">
        <v>175</v>
      </c>
      <c r="B176" s="1">
        <v>74925026670</v>
      </c>
      <c r="C176" s="1" t="s">
        <v>1709</v>
      </c>
    </row>
    <row r="177" spans="1:3" x14ac:dyDescent="0.25">
      <c r="A177" s="1">
        <v>176</v>
      </c>
      <c r="B177" s="1">
        <v>74795954655</v>
      </c>
      <c r="C177" s="1" t="s">
        <v>1710</v>
      </c>
    </row>
    <row r="178" spans="1:3" x14ac:dyDescent="0.25">
      <c r="A178" s="1">
        <v>177</v>
      </c>
      <c r="B178" s="1">
        <v>67136336831</v>
      </c>
      <c r="C178" s="1" t="s">
        <v>1711</v>
      </c>
    </row>
    <row r="179" spans="1:3" x14ac:dyDescent="0.25">
      <c r="A179" s="1">
        <v>178</v>
      </c>
      <c r="B179" s="1">
        <v>61087058099</v>
      </c>
      <c r="C179" s="1" t="s">
        <v>1712</v>
      </c>
    </row>
    <row r="180" spans="1:3" x14ac:dyDescent="0.25">
      <c r="A180" s="1">
        <v>179</v>
      </c>
      <c r="B180" s="1">
        <v>60632106139</v>
      </c>
      <c r="C180" s="1" t="s">
        <v>1713</v>
      </c>
    </row>
    <row r="181" spans="1:3" x14ac:dyDescent="0.25">
      <c r="A181" s="1">
        <v>180</v>
      </c>
      <c r="B181" s="1">
        <v>59082132394</v>
      </c>
      <c r="C181" s="1" t="s">
        <v>1714</v>
      </c>
    </row>
    <row r="182" spans="1:3" x14ac:dyDescent="0.25">
      <c r="A182" s="1">
        <v>181</v>
      </c>
      <c r="B182" s="1">
        <v>54090536575</v>
      </c>
      <c r="C182" s="1" t="s">
        <v>1715</v>
      </c>
    </row>
    <row r="183" spans="1:3" x14ac:dyDescent="0.25">
      <c r="A183" s="1">
        <v>182</v>
      </c>
      <c r="B183" s="1">
        <v>52655705114</v>
      </c>
      <c r="C183" s="1" t="s">
        <v>1716</v>
      </c>
    </row>
    <row r="184" spans="1:3" x14ac:dyDescent="0.25">
      <c r="A184" s="1">
        <v>183</v>
      </c>
      <c r="B184" s="1">
        <v>45387405936</v>
      </c>
      <c r="C184" s="1" t="s">
        <v>1717</v>
      </c>
    </row>
    <row r="185" spans="1:3" x14ac:dyDescent="0.25">
      <c r="A185" s="1">
        <v>184</v>
      </c>
      <c r="B185" s="1">
        <v>37163754845</v>
      </c>
      <c r="C185" s="1" t="s">
        <v>1718</v>
      </c>
    </row>
    <row r="186" spans="1:3" x14ac:dyDescent="0.25">
      <c r="A186" s="1">
        <v>185</v>
      </c>
      <c r="B186" s="1">
        <v>33612534442</v>
      </c>
      <c r="C186" s="1" t="s">
        <v>1719</v>
      </c>
    </row>
    <row r="187" spans="1:3" x14ac:dyDescent="0.25">
      <c r="A187" s="1">
        <v>186</v>
      </c>
      <c r="B187" s="1">
        <v>31000032191</v>
      </c>
      <c r="C187" s="1" t="s">
        <v>1720</v>
      </c>
    </row>
    <row r="188" spans="1:3" x14ac:dyDescent="0.25">
      <c r="A188" s="1">
        <v>187</v>
      </c>
      <c r="B188" s="1">
        <v>30619873504</v>
      </c>
      <c r="C188" s="1" t="s">
        <v>1721</v>
      </c>
    </row>
    <row r="189" spans="1:3" x14ac:dyDescent="0.25">
      <c r="A189" s="1">
        <v>188</v>
      </c>
      <c r="B189" s="1">
        <v>30009206722</v>
      </c>
      <c r="C189" s="1" t="s">
        <v>1722</v>
      </c>
    </row>
    <row r="190" spans="1:3" x14ac:dyDescent="0.25">
      <c r="A190" s="1">
        <v>189</v>
      </c>
      <c r="B190" s="1">
        <v>29115372613</v>
      </c>
      <c r="C190" s="1" t="s">
        <v>1723</v>
      </c>
    </row>
    <row r="191" spans="1:3" x14ac:dyDescent="0.25">
      <c r="A191" s="1">
        <v>190</v>
      </c>
      <c r="B191" s="1">
        <v>15619105092</v>
      </c>
      <c r="C191" s="1" t="s">
        <v>1724</v>
      </c>
    </row>
    <row r="192" spans="1:3" x14ac:dyDescent="0.25">
      <c r="A192" s="1">
        <v>191</v>
      </c>
      <c r="B192" s="1">
        <v>11757908807</v>
      </c>
      <c r="C192" s="1" t="s">
        <v>1725</v>
      </c>
    </row>
    <row r="193" spans="1:3" x14ac:dyDescent="0.25">
      <c r="A193" s="1">
        <v>192</v>
      </c>
      <c r="B193" s="1">
        <v>27691732699</v>
      </c>
      <c r="C193" s="1" t="s">
        <v>2481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1"/>
  <sheetViews>
    <sheetView workbookViewId="0">
      <selection activeCell="E18" sqref="E18"/>
    </sheetView>
  </sheetViews>
  <sheetFormatPr defaultRowHeight="15" x14ac:dyDescent="0.25"/>
  <cols>
    <col min="1" max="1" width="12.140625" customWidth="1"/>
    <col min="2" max="2" width="32.28515625" customWidth="1"/>
    <col min="3" max="3" width="26.140625" customWidth="1"/>
    <col min="4" max="4" width="23" customWidth="1"/>
    <col min="5" max="5" width="46.5703125" customWidth="1"/>
    <col min="6" max="6" width="12.7109375" customWidth="1"/>
    <col min="7" max="7" width="21.7109375" customWidth="1"/>
  </cols>
  <sheetData>
    <row r="1" spans="1:7" x14ac:dyDescent="0.25">
      <c r="A1" s="1" t="s">
        <v>1726</v>
      </c>
      <c r="B1" s="1" t="s">
        <v>1727</v>
      </c>
      <c r="C1" s="1" t="s">
        <v>1728</v>
      </c>
      <c r="D1" s="1" t="s">
        <v>1729</v>
      </c>
      <c r="E1" s="1" t="s">
        <v>1730</v>
      </c>
      <c r="F1" s="3" t="s">
        <v>1731</v>
      </c>
      <c r="G1" s="1" t="s">
        <v>2488</v>
      </c>
    </row>
    <row r="2" spans="1:7" x14ac:dyDescent="0.25">
      <c r="A2" s="1">
        <v>1</v>
      </c>
      <c r="B2" s="1" t="s">
        <v>1732</v>
      </c>
      <c r="C2" s="1" t="s">
        <v>1733</v>
      </c>
      <c r="D2" s="1" t="s">
        <v>1734</v>
      </c>
      <c r="E2" s="1" t="s">
        <v>1735</v>
      </c>
      <c r="F2" s="1" t="b">
        <v>1</v>
      </c>
      <c r="G2" s="1">
        <v>24617070407</v>
      </c>
    </row>
    <row r="3" spans="1:7" x14ac:dyDescent="0.25">
      <c r="A3" s="1">
        <v>2</v>
      </c>
      <c r="B3" s="1" t="s">
        <v>1736</v>
      </c>
      <c r="C3" s="1" t="s">
        <v>1737</v>
      </c>
      <c r="D3" s="1" t="s">
        <v>1738</v>
      </c>
      <c r="E3" s="1" t="s">
        <v>1739</v>
      </c>
      <c r="F3" s="1" t="b">
        <v>1</v>
      </c>
      <c r="G3" s="1">
        <v>53899106565</v>
      </c>
    </row>
    <row r="4" spans="1:7" x14ac:dyDescent="0.25">
      <c r="A4" s="1">
        <v>3</v>
      </c>
      <c r="B4" s="1" t="s">
        <v>1740</v>
      </c>
      <c r="C4" s="1" t="s">
        <v>1737</v>
      </c>
      <c r="D4" s="1" t="s">
        <v>1741</v>
      </c>
      <c r="E4" s="1" t="s">
        <v>1742</v>
      </c>
      <c r="F4" s="1" t="b">
        <v>1</v>
      </c>
      <c r="G4" s="1">
        <v>22295128214</v>
      </c>
    </row>
    <row r="5" spans="1:7" x14ac:dyDescent="0.25">
      <c r="A5" s="1">
        <v>4</v>
      </c>
      <c r="B5" s="1" t="s">
        <v>1743</v>
      </c>
      <c r="C5" s="1" t="s">
        <v>1744</v>
      </c>
      <c r="D5" s="1" t="s">
        <v>1745</v>
      </c>
      <c r="E5" s="1" t="s">
        <v>1746</v>
      </c>
      <c r="F5" s="1" t="b">
        <v>1</v>
      </c>
      <c r="G5" s="1">
        <v>91161293401</v>
      </c>
    </row>
    <row r="6" spans="1:7" x14ac:dyDescent="0.25">
      <c r="A6" s="1">
        <v>5</v>
      </c>
      <c r="B6" s="1" t="s">
        <v>1747</v>
      </c>
      <c r="C6" s="1" t="s">
        <v>1748</v>
      </c>
      <c r="D6" s="1" t="s">
        <v>1749</v>
      </c>
      <c r="E6" s="1" t="s">
        <v>1750</v>
      </c>
      <c r="F6" s="1" t="b">
        <v>1</v>
      </c>
      <c r="G6" s="1">
        <v>12611161829</v>
      </c>
    </row>
    <row r="7" spans="1:7" x14ac:dyDescent="0.25">
      <c r="A7" s="1">
        <v>6</v>
      </c>
      <c r="B7" s="1" t="s">
        <v>1751</v>
      </c>
      <c r="C7" s="1" t="s">
        <v>1752</v>
      </c>
      <c r="D7" s="1" t="s">
        <v>1753</v>
      </c>
      <c r="E7" s="1" t="s">
        <v>1754</v>
      </c>
      <c r="F7" s="1" t="b">
        <v>1</v>
      </c>
      <c r="G7" s="1">
        <v>74795954655</v>
      </c>
    </row>
    <row r="8" spans="1:7" x14ac:dyDescent="0.25">
      <c r="A8" s="1">
        <v>7</v>
      </c>
      <c r="B8" s="1" t="s">
        <v>1755</v>
      </c>
      <c r="C8" s="1" t="s">
        <v>1756</v>
      </c>
      <c r="D8" s="1" t="s">
        <v>1757</v>
      </c>
      <c r="E8" s="1" t="s">
        <v>1758</v>
      </c>
      <c r="F8" s="1" t="b">
        <v>1</v>
      </c>
      <c r="G8" s="1">
        <v>36159996095</v>
      </c>
    </row>
    <row r="9" spans="1:7" x14ac:dyDescent="0.25">
      <c r="A9" s="1">
        <v>8</v>
      </c>
      <c r="B9" s="1" t="s">
        <v>1759</v>
      </c>
      <c r="C9" s="1" t="s">
        <v>1756</v>
      </c>
      <c r="D9" s="1" t="s">
        <v>1760</v>
      </c>
      <c r="E9" s="1" t="s">
        <v>1761</v>
      </c>
      <c r="F9" s="1" t="b">
        <v>1</v>
      </c>
      <c r="G9" s="1">
        <v>82060623752</v>
      </c>
    </row>
    <row r="10" spans="1:7" x14ac:dyDescent="0.25">
      <c r="A10" s="1">
        <v>9</v>
      </c>
      <c r="B10" s="1" t="s">
        <v>1762</v>
      </c>
      <c r="C10" s="1" t="s">
        <v>1756</v>
      </c>
      <c r="D10" s="1" t="s">
        <v>1763</v>
      </c>
      <c r="E10" s="1" t="s">
        <v>1764</v>
      </c>
      <c r="F10" s="1" t="b">
        <v>1</v>
      </c>
      <c r="G10" s="1">
        <v>87099732297</v>
      </c>
    </row>
    <row r="11" spans="1:7" x14ac:dyDescent="0.25">
      <c r="A11" s="1">
        <v>10</v>
      </c>
      <c r="B11" s="1" t="s">
        <v>1765</v>
      </c>
      <c r="C11" s="1" t="s">
        <v>1766</v>
      </c>
      <c r="D11" s="1" t="s">
        <v>1767</v>
      </c>
      <c r="E11" s="1" t="s">
        <v>1768</v>
      </c>
      <c r="F11" s="1" t="b">
        <v>1</v>
      </c>
      <c r="G11" s="1">
        <v>58133136400</v>
      </c>
    </row>
    <row r="12" spans="1:7" x14ac:dyDescent="0.25">
      <c r="A12" s="1">
        <v>11</v>
      </c>
      <c r="B12" s="1" t="s">
        <v>1769</v>
      </c>
      <c r="C12" s="1" t="s">
        <v>1770</v>
      </c>
      <c r="D12" s="1" t="s">
        <v>1771</v>
      </c>
      <c r="E12" s="1" t="s">
        <v>1772</v>
      </c>
      <c r="F12" s="1" t="b">
        <v>1</v>
      </c>
      <c r="G12" s="1">
        <v>97054579243</v>
      </c>
    </row>
    <row r="13" spans="1:7" x14ac:dyDescent="0.25">
      <c r="A13" s="1">
        <v>12</v>
      </c>
      <c r="B13" s="1" t="s">
        <v>1732</v>
      </c>
      <c r="C13" s="1" t="s">
        <v>1733</v>
      </c>
      <c r="D13" s="1" t="s">
        <v>1734</v>
      </c>
      <c r="E13" s="1" t="s">
        <v>1773</v>
      </c>
      <c r="F13" s="1" t="b">
        <v>1</v>
      </c>
      <c r="G13" s="1">
        <v>24617070407</v>
      </c>
    </row>
    <row r="14" spans="1:7" x14ac:dyDescent="0.25">
      <c r="A14" s="1">
        <v>13</v>
      </c>
      <c r="B14" s="1" t="s">
        <v>1774</v>
      </c>
      <c r="C14" s="1" t="s">
        <v>1775</v>
      </c>
      <c r="D14" s="1" t="s">
        <v>1776</v>
      </c>
      <c r="E14" s="1" t="s">
        <v>1777</v>
      </c>
      <c r="F14" s="1" t="b">
        <v>1</v>
      </c>
      <c r="G14" s="1">
        <v>50140551104</v>
      </c>
    </row>
    <row r="15" spans="1:7" x14ac:dyDescent="0.25">
      <c r="A15" s="1">
        <v>14</v>
      </c>
      <c r="B15" s="1" t="s">
        <v>1778</v>
      </c>
      <c r="C15" s="1" t="s">
        <v>1779</v>
      </c>
      <c r="D15" s="1" t="s">
        <v>1780</v>
      </c>
      <c r="E15" s="1" t="s">
        <v>1781</v>
      </c>
      <c r="F15" s="1" t="b">
        <v>1</v>
      </c>
      <c r="G15" s="1">
        <v>37000615056</v>
      </c>
    </row>
    <row r="16" spans="1:7" x14ac:dyDescent="0.25">
      <c r="A16" s="1">
        <v>15</v>
      </c>
      <c r="B16" s="1" t="s">
        <v>1782</v>
      </c>
      <c r="C16" s="1" t="s">
        <v>1783</v>
      </c>
      <c r="D16" s="1" t="s">
        <v>1784</v>
      </c>
      <c r="E16" s="1" t="s">
        <v>1785</v>
      </c>
      <c r="F16" s="1" t="b">
        <v>1</v>
      </c>
      <c r="G16" s="1">
        <v>99074126971</v>
      </c>
    </row>
    <row r="17" spans="1:7" x14ac:dyDescent="0.25">
      <c r="A17" s="1">
        <v>16</v>
      </c>
      <c r="B17" s="1" t="s">
        <v>1786</v>
      </c>
      <c r="C17" s="1" t="s">
        <v>1787</v>
      </c>
      <c r="D17" s="1" t="s">
        <v>1788</v>
      </c>
      <c r="E17" s="1" t="s">
        <v>1789</v>
      </c>
      <c r="F17" s="1" t="b">
        <v>1</v>
      </c>
      <c r="G17" s="1">
        <v>85057330748</v>
      </c>
    </row>
    <row r="18" spans="1:7" x14ac:dyDescent="0.25">
      <c r="A18" s="1">
        <v>17</v>
      </c>
      <c r="B18" s="1" t="s">
        <v>1790</v>
      </c>
      <c r="C18" s="1" t="s">
        <v>1791</v>
      </c>
      <c r="D18" s="1" t="s">
        <v>1792</v>
      </c>
      <c r="E18" s="1" t="s">
        <v>1793</v>
      </c>
      <c r="F18" s="1" t="b">
        <v>1</v>
      </c>
      <c r="G18" s="1">
        <v>53623928003</v>
      </c>
    </row>
    <row r="19" spans="1:7" x14ac:dyDescent="0.25">
      <c r="A19" s="1">
        <v>18</v>
      </c>
      <c r="B19" s="1" t="s">
        <v>1794</v>
      </c>
      <c r="C19" s="1" t="s">
        <v>1795</v>
      </c>
      <c r="D19" s="1" t="s">
        <v>1796</v>
      </c>
      <c r="E19" s="1" t="s">
        <v>1797</v>
      </c>
      <c r="F19" s="1" t="b">
        <v>1</v>
      </c>
      <c r="G19" s="1">
        <v>46650016872</v>
      </c>
    </row>
    <row r="20" spans="1:7" x14ac:dyDescent="0.25">
      <c r="A20" s="1">
        <v>19</v>
      </c>
      <c r="B20" s="1" t="s">
        <v>1798</v>
      </c>
      <c r="C20" s="1" t="s">
        <v>1799</v>
      </c>
      <c r="D20" s="1" t="s">
        <v>1800</v>
      </c>
      <c r="E20" s="1" t="s">
        <v>1801</v>
      </c>
      <c r="F20" s="1" t="b">
        <v>1</v>
      </c>
      <c r="G20" s="1">
        <v>41609980726</v>
      </c>
    </row>
    <row r="21" spans="1:7" x14ac:dyDescent="0.25">
      <c r="A21" s="1">
        <v>20</v>
      </c>
      <c r="B21" s="1" t="s">
        <v>1802</v>
      </c>
      <c r="C21" s="1" t="s">
        <v>1803</v>
      </c>
      <c r="D21" s="1" t="s">
        <v>1804</v>
      </c>
      <c r="E21" s="1" t="s">
        <v>1805</v>
      </c>
      <c r="F21" s="1" t="b">
        <v>1</v>
      </c>
      <c r="G21" s="1">
        <v>51064081956</v>
      </c>
    </row>
    <row r="22" spans="1:7" x14ac:dyDescent="0.25">
      <c r="A22" s="1">
        <v>21</v>
      </c>
      <c r="B22" s="1" t="s">
        <v>1806</v>
      </c>
      <c r="C22" s="1" t="s">
        <v>1807</v>
      </c>
      <c r="D22" s="1" t="s">
        <v>1808</v>
      </c>
      <c r="E22" s="1" t="s">
        <v>1809</v>
      </c>
      <c r="F22" s="1" t="b">
        <v>1</v>
      </c>
      <c r="G22" s="1">
        <v>37603737935</v>
      </c>
    </row>
    <row r="23" spans="1:7" x14ac:dyDescent="0.25">
      <c r="A23" s="1">
        <v>22</v>
      </c>
      <c r="B23" s="1" t="s">
        <v>1810</v>
      </c>
      <c r="C23" s="1" t="s">
        <v>1811</v>
      </c>
      <c r="D23" s="1" t="s">
        <v>1812</v>
      </c>
      <c r="E23" s="1" t="s">
        <v>1813</v>
      </c>
      <c r="F23" s="1" t="b">
        <v>1</v>
      </c>
      <c r="G23" s="1">
        <v>15118155785</v>
      </c>
    </row>
    <row r="24" spans="1:7" x14ac:dyDescent="0.25">
      <c r="A24" s="1">
        <v>23</v>
      </c>
      <c r="B24" s="1" t="s">
        <v>1814</v>
      </c>
      <c r="C24" s="1" t="s">
        <v>1815</v>
      </c>
      <c r="D24" s="1" t="s">
        <v>1816</v>
      </c>
      <c r="E24" s="1" t="s">
        <v>1817</v>
      </c>
      <c r="F24" s="1" t="b">
        <v>1</v>
      </c>
      <c r="G24" s="1">
        <v>88604544023</v>
      </c>
    </row>
    <row r="25" spans="1:7" x14ac:dyDescent="0.25">
      <c r="A25" s="1">
        <v>24</v>
      </c>
      <c r="B25" s="1" t="s">
        <v>1818</v>
      </c>
      <c r="C25" s="1" t="s">
        <v>1819</v>
      </c>
      <c r="D25" s="1" t="s">
        <v>1820</v>
      </c>
      <c r="E25" s="1" t="s">
        <v>1821</v>
      </c>
      <c r="F25" s="1" t="b">
        <v>1</v>
      </c>
      <c r="G25" s="1">
        <v>18163328694</v>
      </c>
    </row>
    <row r="26" spans="1:7" x14ac:dyDescent="0.25">
      <c r="A26" s="1">
        <v>25</v>
      </c>
      <c r="B26" s="1" t="s">
        <v>1822</v>
      </c>
      <c r="C26" s="1" t="s">
        <v>1823</v>
      </c>
      <c r="D26" s="1" t="s">
        <v>1824</v>
      </c>
      <c r="E26" s="1" t="s">
        <v>1825</v>
      </c>
      <c r="F26" s="1" t="b">
        <v>1</v>
      </c>
      <c r="G26" s="1">
        <v>74096169416</v>
      </c>
    </row>
    <row r="27" spans="1:7" x14ac:dyDescent="0.25">
      <c r="A27" s="1">
        <v>26</v>
      </c>
      <c r="B27" s="1" t="s">
        <v>1826</v>
      </c>
      <c r="C27" s="1" t="s">
        <v>1827</v>
      </c>
      <c r="D27" s="1" t="s">
        <v>1828</v>
      </c>
      <c r="E27" s="1" t="s">
        <v>1829</v>
      </c>
      <c r="F27" s="1" t="b">
        <v>1</v>
      </c>
      <c r="G27" s="1">
        <v>87099732297</v>
      </c>
    </row>
    <row r="28" spans="1:7" x14ac:dyDescent="0.25">
      <c r="A28" s="1">
        <v>27</v>
      </c>
      <c r="B28" s="1" t="s">
        <v>1830</v>
      </c>
      <c r="C28" s="1" t="s">
        <v>1831</v>
      </c>
      <c r="D28" s="1" t="s">
        <v>1832</v>
      </c>
      <c r="E28" s="1" t="s">
        <v>1833</v>
      </c>
      <c r="F28" s="1" t="b">
        <v>1</v>
      </c>
      <c r="G28" s="1">
        <v>65631934971</v>
      </c>
    </row>
    <row r="29" spans="1:7" x14ac:dyDescent="0.25">
      <c r="A29" s="1">
        <v>28</v>
      </c>
      <c r="B29" s="1" t="s">
        <v>1834</v>
      </c>
      <c r="C29" s="1" t="s">
        <v>1835</v>
      </c>
      <c r="D29" s="1" t="s">
        <v>1836</v>
      </c>
      <c r="E29" s="1" t="s">
        <v>1837</v>
      </c>
      <c r="F29" s="1" t="b">
        <v>1</v>
      </c>
      <c r="G29" s="1">
        <v>74091546735</v>
      </c>
    </row>
    <row r="30" spans="1:7" x14ac:dyDescent="0.25">
      <c r="A30" s="1">
        <v>29</v>
      </c>
      <c r="B30" s="1" t="s">
        <v>1838</v>
      </c>
      <c r="C30" s="1" t="s">
        <v>1839</v>
      </c>
      <c r="D30" s="1" t="s">
        <v>1840</v>
      </c>
      <c r="E30" s="1" t="s">
        <v>1841</v>
      </c>
      <c r="F30" s="1" t="b">
        <v>1</v>
      </c>
      <c r="G30" s="1">
        <v>37094906028</v>
      </c>
    </row>
    <row r="31" spans="1:7" x14ac:dyDescent="0.25">
      <c r="A31" s="1">
        <v>30</v>
      </c>
      <c r="B31" s="1" t="s">
        <v>1842</v>
      </c>
      <c r="C31" s="1" t="s">
        <v>1843</v>
      </c>
      <c r="D31" s="1" t="s">
        <v>1844</v>
      </c>
      <c r="E31" s="1" t="s">
        <v>1845</v>
      </c>
      <c r="F31" s="1" t="b">
        <v>1</v>
      </c>
      <c r="G31" s="1">
        <v>15082074708</v>
      </c>
    </row>
    <row r="32" spans="1:7" x14ac:dyDescent="0.25">
      <c r="A32" s="1">
        <v>31</v>
      </c>
      <c r="B32" s="1" t="s">
        <v>1846</v>
      </c>
      <c r="C32" s="1" t="s">
        <v>1847</v>
      </c>
      <c r="D32" s="1" t="s">
        <v>1848</v>
      </c>
      <c r="E32" s="1" t="s">
        <v>1849</v>
      </c>
      <c r="F32" s="1" t="b">
        <v>1</v>
      </c>
      <c r="G32" s="1">
        <v>17613791512</v>
      </c>
    </row>
    <row r="33" spans="1:7" x14ac:dyDescent="0.25">
      <c r="A33" s="1">
        <v>32</v>
      </c>
      <c r="B33" s="1" t="s">
        <v>1850</v>
      </c>
      <c r="C33" s="1" t="s">
        <v>1847</v>
      </c>
      <c r="D33" s="1" t="s">
        <v>1851</v>
      </c>
      <c r="E33" s="1" t="s">
        <v>1852</v>
      </c>
      <c r="F33" s="1" t="b">
        <v>1</v>
      </c>
      <c r="G33" s="1">
        <v>89009242675</v>
      </c>
    </row>
    <row r="34" spans="1:7" x14ac:dyDescent="0.25">
      <c r="A34" s="1">
        <v>33</v>
      </c>
      <c r="B34" s="1" t="s">
        <v>1853</v>
      </c>
      <c r="C34" s="1" t="s">
        <v>1847</v>
      </c>
      <c r="D34" s="1" t="s">
        <v>1854</v>
      </c>
      <c r="E34" s="1" t="s">
        <v>1855</v>
      </c>
      <c r="F34" s="1" t="b">
        <v>1</v>
      </c>
      <c r="G34" s="1">
        <v>46151524604</v>
      </c>
    </row>
    <row r="35" spans="1:7" x14ac:dyDescent="0.25">
      <c r="A35" s="1">
        <v>34</v>
      </c>
      <c r="B35" s="1" t="s">
        <v>1856</v>
      </c>
      <c r="C35" s="1" t="s">
        <v>1857</v>
      </c>
      <c r="D35" s="1" t="s">
        <v>1858</v>
      </c>
      <c r="E35" s="1" t="s">
        <v>1859</v>
      </c>
      <c r="F35" s="1" t="b">
        <v>1</v>
      </c>
      <c r="G35" s="1">
        <v>48642527259</v>
      </c>
    </row>
    <row r="36" spans="1:7" x14ac:dyDescent="0.25">
      <c r="A36" s="1">
        <v>35</v>
      </c>
      <c r="B36" s="1" t="s">
        <v>1860</v>
      </c>
      <c r="C36" s="1" t="s">
        <v>1861</v>
      </c>
      <c r="D36" s="1" t="s">
        <v>1862</v>
      </c>
      <c r="E36" s="1" t="s">
        <v>1863</v>
      </c>
      <c r="F36" s="1" t="b">
        <v>1</v>
      </c>
      <c r="G36" s="1">
        <v>20142894844</v>
      </c>
    </row>
    <row r="37" spans="1:7" x14ac:dyDescent="0.25">
      <c r="A37" s="1">
        <v>36</v>
      </c>
      <c r="B37" s="1" t="s">
        <v>1864</v>
      </c>
      <c r="C37" s="1" t="s">
        <v>1865</v>
      </c>
      <c r="D37" s="1" t="s">
        <v>1866</v>
      </c>
      <c r="E37" s="1" t="s">
        <v>1867</v>
      </c>
      <c r="F37" s="1" t="b">
        <v>1</v>
      </c>
      <c r="G37" s="1">
        <v>34155134795</v>
      </c>
    </row>
    <row r="38" spans="1:7" x14ac:dyDescent="0.25">
      <c r="A38" s="1">
        <v>37</v>
      </c>
      <c r="B38" s="1" t="s">
        <v>1868</v>
      </c>
      <c r="C38" s="1" t="s">
        <v>1869</v>
      </c>
      <c r="D38" s="1" t="s">
        <v>1870</v>
      </c>
      <c r="E38" s="1" t="s">
        <v>1871</v>
      </c>
      <c r="F38" s="1" t="b">
        <v>1</v>
      </c>
      <c r="G38" s="1">
        <v>94365883835</v>
      </c>
    </row>
    <row r="39" spans="1:7" x14ac:dyDescent="0.25">
      <c r="A39" s="1">
        <v>38</v>
      </c>
      <c r="B39" s="1" t="s">
        <v>1872</v>
      </c>
      <c r="C39" s="1" t="s">
        <v>1869</v>
      </c>
      <c r="D39" s="1" t="s">
        <v>1873</v>
      </c>
      <c r="E39" s="1" t="s">
        <v>1874</v>
      </c>
      <c r="F39" s="1" t="b">
        <v>1</v>
      </c>
      <c r="G39" s="1">
        <v>72615255466</v>
      </c>
    </row>
    <row r="40" spans="1:7" x14ac:dyDescent="0.25">
      <c r="A40" s="1">
        <v>39</v>
      </c>
      <c r="B40" s="1" t="s">
        <v>1875</v>
      </c>
      <c r="C40" s="1" t="s">
        <v>1876</v>
      </c>
      <c r="D40" s="1" t="s">
        <v>1877</v>
      </c>
      <c r="E40" s="1" t="s">
        <v>1878</v>
      </c>
      <c r="F40" s="1" t="b">
        <v>1</v>
      </c>
      <c r="G40" s="1">
        <v>87099732297</v>
      </c>
    </row>
    <row r="41" spans="1:7" x14ac:dyDescent="0.25">
      <c r="A41" s="1">
        <v>40</v>
      </c>
      <c r="B41" s="1" t="s">
        <v>1879</v>
      </c>
      <c r="C41" s="1" t="s">
        <v>1880</v>
      </c>
      <c r="D41" s="1" t="s">
        <v>1881</v>
      </c>
      <c r="E41" s="1" t="s">
        <v>1882</v>
      </c>
      <c r="F41" s="1" t="b">
        <v>1</v>
      </c>
      <c r="G41" s="1">
        <v>61602493872</v>
      </c>
    </row>
    <row r="42" spans="1:7" x14ac:dyDescent="0.25">
      <c r="A42" s="1">
        <v>41</v>
      </c>
      <c r="B42" s="1" t="s">
        <v>1883</v>
      </c>
      <c r="C42" s="1" t="s">
        <v>1884</v>
      </c>
      <c r="D42" s="1" t="s">
        <v>1885</v>
      </c>
      <c r="E42" s="1" t="s">
        <v>1886</v>
      </c>
      <c r="F42" s="1" t="b">
        <v>1</v>
      </c>
      <c r="G42" s="1">
        <v>59632942584</v>
      </c>
    </row>
    <row r="43" spans="1:7" x14ac:dyDescent="0.25">
      <c r="A43" s="1">
        <v>42</v>
      </c>
      <c r="B43" s="1" t="s">
        <v>1887</v>
      </c>
      <c r="C43" s="1" t="s">
        <v>1888</v>
      </c>
      <c r="D43" s="1" t="s">
        <v>1889</v>
      </c>
      <c r="E43" s="1" t="s">
        <v>1890</v>
      </c>
      <c r="F43" s="1" t="b">
        <v>1</v>
      </c>
      <c r="G43" s="1">
        <v>37000615056</v>
      </c>
    </row>
    <row r="44" spans="1:7" x14ac:dyDescent="0.25">
      <c r="A44" s="1">
        <v>43</v>
      </c>
      <c r="B44" s="1" t="s">
        <v>1891</v>
      </c>
      <c r="C44" s="1" t="s">
        <v>1892</v>
      </c>
      <c r="D44" s="1" t="s">
        <v>1893</v>
      </c>
      <c r="E44" s="1" t="s">
        <v>1894</v>
      </c>
      <c r="F44" s="1" t="b">
        <v>1</v>
      </c>
      <c r="G44" s="1">
        <v>65006694702</v>
      </c>
    </row>
    <row r="45" spans="1:7" x14ac:dyDescent="0.25">
      <c r="A45" s="1">
        <v>44</v>
      </c>
      <c r="B45" s="1" t="s">
        <v>1895</v>
      </c>
      <c r="C45" s="1" t="s">
        <v>1892</v>
      </c>
      <c r="D45" s="1" t="s">
        <v>1808</v>
      </c>
      <c r="E45" s="1" t="s">
        <v>1896</v>
      </c>
      <c r="F45" s="1" t="b">
        <v>1</v>
      </c>
      <c r="G45" s="1">
        <v>41612483011</v>
      </c>
    </row>
    <row r="46" spans="1:7" x14ac:dyDescent="0.25">
      <c r="A46" s="1">
        <v>45</v>
      </c>
      <c r="B46" s="1" t="s">
        <v>1897</v>
      </c>
      <c r="C46" s="1" t="s">
        <v>1892</v>
      </c>
      <c r="D46" s="1" t="s">
        <v>1898</v>
      </c>
      <c r="E46" s="1" t="s">
        <v>1899</v>
      </c>
      <c r="F46" s="1" t="b">
        <v>1</v>
      </c>
      <c r="G46" s="1">
        <v>91136398126</v>
      </c>
    </row>
    <row r="47" spans="1:7" x14ac:dyDescent="0.25">
      <c r="A47" s="1">
        <v>46</v>
      </c>
      <c r="B47" s="1" t="s">
        <v>1900</v>
      </c>
      <c r="C47" s="1" t="s">
        <v>1901</v>
      </c>
      <c r="D47" s="1" t="s">
        <v>1902</v>
      </c>
      <c r="E47" s="1" t="s">
        <v>1903</v>
      </c>
      <c r="F47" s="1" t="b">
        <v>1</v>
      </c>
      <c r="G47" s="1">
        <v>68609740105</v>
      </c>
    </row>
    <row r="48" spans="1:7" x14ac:dyDescent="0.25">
      <c r="A48" s="1">
        <v>47</v>
      </c>
      <c r="B48" s="1" t="s">
        <v>1904</v>
      </c>
      <c r="C48" s="1" t="s">
        <v>1905</v>
      </c>
      <c r="D48" s="1" t="s">
        <v>1906</v>
      </c>
      <c r="E48" s="1" t="s">
        <v>1907</v>
      </c>
      <c r="F48" s="1" t="b">
        <v>1</v>
      </c>
      <c r="G48" s="1">
        <v>74848500748</v>
      </c>
    </row>
    <row r="49" spans="1:7" x14ac:dyDescent="0.25">
      <c r="A49" s="1">
        <v>48</v>
      </c>
      <c r="B49" s="1" t="s">
        <v>1908</v>
      </c>
      <c r="C49" s="1" t="s">
        <v>1909</v>
      </c>
      <c r="D49" s="1" t="s">
        <v>1910</v>
      </c>
      <c r="E49" s="1" t="s">
        <v>1911</v>
      </c>
      <c r="F49" s="1" t="b">
        <v>1</v>
      </c>
      <c r="G49" s="1">
        <v>67642143324</v>
      </c>
    </row>
    <row r="50" spans="1:7" x14ac:dyDescent="0.25">
      <c r="A50" s="1">
        <v>49</v>
      </c>
      <c r="B50" s="1" t="s">
        <v>1912</v>
      </c>
      <c r="C50" s="1" t="s">
        <v>1913</v>
      </c>
      <c r="D50" s="1" t="s">
        <v>1914</v>
      </c>
      <c r="E50" s="1" t="s">
        <v>1915</v>
      </c>
      <c r="F50" s="1" t="b">
        <v>1</v>
      </c>
      <c r="G50" s="1">
        <v>45628502410</v>
      </c>
    </row>
    <row r="51" spans="1:7" x14ac:dyDescent="0.25">
      <c r="A51" s="1">
        <v>50</v>
      </c>
      <c r="B51" s="1" t="s">
        <v>1916</v>
      </c>
      <c r="C51" s="1" t="s">
        <v>1917</v>
      </c>
      <c r="D51" s="1" t="s">
        <v>1918</v>
      </c>
      <c r="E51" s="1" t="s">
        <v>1919</v>
      </c>
      <c r="F51" s="1" t="b">
        <v>1</v>
      </c>
      <c r="G51" s="1">
        <v>53603953019</v>
      </c>
    </row>
    <row r="52" spans="1:7" x14ac:dyDescent="0.25">
      <c r="A52" s="1">
        <v>51</v>
      </c>
      <c r="B52" s="1" t="s">
        <v>1920</v>
      </c>
      <c r="C52" s="1" t="s">
        <v>1921</v>
      </c>
      <c r="D52" s="1" t="s">
        <v>1922</v>
      </c>
      <c r="E52" s="1" t="s">
        <v>1923</v>
      </c>
      <c r="F52" s="1" t="b">
        <v>1</v>
      </c>
      <c r="G52" s="1">
        <v>15002617736</v>
      </c>
    </row>
    <row r="53" spans="1:7" x14ac:dyDescent="0.25">
      <c r="A53" s="1">
        <v>52</v>
      </c>
      <c r="B53" s="1" t="s">
        <v>1924</v>
      </c>
      <c r="C53" s="1" t="s">
        <v>1925</v>
      </c>
      <c r="D53" s="1" t="s">
        <v>1926</v>
      </c>
      <c r="E53" s="1" t="s">
        <v>1927</v>
      </c>
      <c r="F53" s="1" t="b">
        <v>1</v>
      </c>
      <c r="G53" s="1">
        <v>78095626798</v>
      </c>
    </row>
    <row r="54" spans="1:7" x14ac:dyDescent="0.25">
      <c r="A54" s="1">
        <v>53</v>
      </c>
      <c r="B54" s="1" t="s">
        <v>1928</v>
      </c>
      <c r="C54" s="1" t="s">
        <v>1929</v>
      </c>
      <c r="D54" s="1" t="s">
        <v>1930</v>
      </c>
      <c r="E54" s="1" t="s">
        <v>1931</v>
      </c>
      <c r="F54" s="1" t="b">
        <v>1</v>
      </c>
      <c r="G54" s="1">
        <v>95063541873</v>
      </c>
    </row>
    <row r="55" spans="1:7" x14ac:dyDescent="0.25">
      <c r="A55" s="1">
        <v>54</v>
      </c>
      <c r="B55" s="1" t="s">
        <v>1932</v>
      </c>
      <c r="C55" s="1" t="s">
        <v>1929</v>
      </c>
      <c r="D55" s="1" t="s">
        <v>1933</v>
      </c>
      <c r="E55" s="1" t="s">
        <v>1934</v>
      </c>
      <c r="F55" s="1" t="b">
        <v>1</v>
      </c>
      <c r="G55" s="1">
        <v>90096370357</v>
      </c>
    </row>
    <row r="56" spans="1:7" x14ac:dyDescent="0.25">
      <c r="A56" s="1">
        <v>55</v>
      </c>
      <c r="B56" s="1" t="s">
        <v>1935</v>
      </c>
      <c r="C56" s="1" t="s">
        <v>1929</v>
      </c>
      <c r="D56" s="1" t="s">
        <v>1936</v>
      </c>
      <c r="E56" s="1" t="s">
        <v>1937</v>
      </c>
      <c r="F56" s="1" t="b">
        <v>1</v>
      </c>
      <c r="G56" s="1">
        <v>46767068752</v>
      </c>
    </row>
    <row r="57" spans="1:7" x14ac:dyDescent="0.25">
      <c r="A57" s="1">
        <v>56</v>
      </c>
      <c r="B57" s="1" t="s">
        <v>1938</v>
      </c>
      <c r="C57" s="1" t="s">
        <v>1939</v>
      </c>
      <c r="D57" s="1" t="s">
        <v>1940</v>
      </c>
      <c r="E57" s="1" t="s">
        <v>1941</v>
      </c>
      <c r="F57" s="1" t="b">
        <v>1</v>
      </c>
      <c r="G57" s="1">
        <v>92009940989</v>
      </c>
    </row>
    <row r="58" spans="1:7" x14ac:dyDescent="0.25">
      <c r="A58" s="1">
        <v>57</v>
      </c>
      <c r="B58" s="1" t="s">
        <v>1942</v>
      </c>
      <c r="C58" s="1" t="s">
        <v>1943</v>
      </c>
      <c r="D58" s="1" t="s">
        <v>1760</v>
      </c>
      <c r="E58" s="1" t="s">
        <v>1944</v>
      </c>
      <c r="F58" s="1" t="b">
        <v>1</v>
      </c>
      <c r="G58" s="1">
        <v>12055966802</v>
      </c>
    </row>
    <row r="59" spans="1:7" x14ac:dyDescent="0.25">
      <c r="A59" s="1">
        <v>58</v>
      </c>
      <c r="B59" s="1" t="s">
        <v>1945</v>
      </c>
      <c r="C59" s="1" t="s">
        <v>1946</v>
      </c>
      <c r="D59" s="1" t="s">
        <v>1947</v>
      </c>
      <c r="E59" s="1" t="s">
        <v>1948</v>
      </c>
      <c r="F59" s="1" t="b">
        <v>1</v>
      </c>
      <c r="G59" s="1">
        <v>41813267182</v>
      </c>
    </row>
    <row r="60" spans="1:7" x14ac:dyDescent="0.25">
      <c r="A60" s="1">
        <v>59</v>
      </c>
      <c r="B60" s="1" t="s">
        <v>1949</v>
      </c>
      <c r="C60" s="1" t="s">
        <v>1950</v>
      </c>
      <c r="D60" s="1" t="s">
        <v>1951</v>
      </c>
      <c r="E60" s="1" t="s">
        <v>1952</v>
      </c>
      <c r="F60" s="1" t="b">
        <v>1</v>
      </c>
      <c r="G60" s="1">
        <v>73065624295</v>
      </c>
    </row>
    <row r="61" spans="1:7" x14ac:dyDescent="0.25">
      <c r="A61" s="1">
        <v>60</v>
      </c>
      <c r="B61" s="1" t="s">
        <v>1953</v>
      </c>
      <c r="C61" s="1" t="s">
        <v>1954</v>
      </c>
      <c r="D61" s="1" t="s">
        <v>1955</v>
      </c>
      <c r="E61" s="1" t="s">
        <v>1956</v>
      </c>
      <c r="F61" s="1" t="b">
        <v>1</v>
      </c>
      <c r="G61" s="1">
        <v>38117317085</v>
      </c>
    </row>
    <row r="62" spans="1:7" x14ac:dyDescent="0.25">
      <c r="A62" s="1">
        <v>61</v>
      </c>
      <c r="B62" s="1" t="s">
        <v>1953</v>
      </c>
      <c r="C62" s="1" t="s">
        <v>1954</v>
      </c>
      <c r="D62" s="1" t="s">
        <v>1955</v>
      </c>
      <c r="E62" s="1" t="s">
        <v>1957</v>
      </c>
      <c r="F62" s="1" t="b">
        <v>1</v>
      </c>
      <c r="G62" s="1">
        <v>61602493872</v>
      </c>
    </row>
    <row r="63" spans="1:7" x14ac:dyDescent="0.25">
      <c r="A63" s="1">
        <v>62</v>
      </c>
      <c r="B63" s="1" t="s">
        <v>1953</v>
      </c>
      <c r="C63" s="1" t="s">
        <v>1954</v>
      </c>
      <c r="D63" s="1" t="s">
        <v>1955</v>
      </c>
      <c r="E63" s="1" t="s">
        <v>1958</v>
      </c>
      <c r="F63" s="1" t="b">
        <v>1</v>
      </c>
      <c r="G63" s="1">
        <v>61602493872</v>
      </c>
    </row>
    <row r="64" spans="1:7" x14ac:dyDescent="0.25">
      <c r="A64" s="1">
        <v>63</v>
      </c>
      <c r="B64" s="1" t="s">
        <v>1959</v>
      </c>
      <c r="C64" s="1" t="s">
        <v>1954</v>
      </c>
      <c r="D64" s="1" t="s">
        <v>1960</v>
      </c>
      <c r="E64" s="1" t="s">
        <v>1961</v>
      </c>
      <c r="F64" s="1" t="b">
        <v>1</v>
      </c>
      <c r="G64" s="1">
        <v>27624650406</v>
      </c>
    </row>
    <row r="65" spans="1:7" x14ac:dyDescent="0.25">
      <c r="A65" s="1">
        <v>64</v>
      </c>
      <c r="B65" s="1" t="s">
        <v>1962</v>
      </c>
      <c r="C65" s="1" t="s">
        <v>1963</v>
      </c>
      <c r="D65" s="1" t="s">
        <v>1964</v>
      </c>
      <c r="E65" s="1" t="s">
        <v>1965</v>
      </c>
      <c r="F65" s="1" t="b">
        <v>1</v>
      </c>
      <c r="G65" s="1">
        <v>97153464469</v>
      </c>
    </row>
    <row r="66" spans="1:7" x14ac:dyDescent="0.25">
      <c r="A66" s="1">
        <v>65</v>
      </c>
      <c r="B66" s="1" t="s">
        <v>2485</v>
      </c>
      <c r="C66" s="1" t="s">
        <v>2486</v>
      </c>
      <c r="D66" s="1" t="s">
        <v>2487</v>
      </c>
      <c r="E66" t="s">
        <v>2484</v>
      </c>
      <c r="F66" s="1" t="b">
        <v>1</v>
      </c>
      <c r="G66" s="1">
        <v>37000615056</v>
      </c>
    </row>
    <row r="67" spans="1:7" x14ac:dyDescent="0.25">
      <c r="A67" s="1">
        <v>66</v>
      </c>
      <c r="B67" s="1" t="s">
        <v>1967</v>
      </c>
      <c r="C67" s="1" t="s">
        <v>1968</v>
      </c>
      <c r="D67" s="1" t="s">
        <v>1969</v>
      </c>
      <c r="E67" s="1" t="s">
        <v>1970</v>
      </c>
      <c r="F67" s="1" t="b">
        <v>1</v>
      </c>
      <c r="G67" s="1">
        <v>90003499849</v>
      </c>
    </row>
    <row r="68" spans="1:7" x14ac:dyDescent="0.25">
      <c r="A68" s="1">
        <v>67</v>
      </c>
      <c r="B68" s="1" t="s">
        <v>1971</v>
      </c>
      <c r="C68" s="1" t="s">
        <v>1972</v>
      </c>
      <c r="D68" s="1" t="s">
        <v>1973</v>
      </c>
      <c r="E68" s="1" t="s">
        <v>1974</v>
      </c>
      <c r="F68" s="1" t="b">
        <v>1</v>
      </c>
      <c r="G68" s="1">
        <v>97111176713</v>
      </c>
    </row>
    <row r="69" spans="1:7" x14ac:dyDescent="0.25">
      <c r="A69" s="1">
        <v>68</v>
      </c>
      <c r="B69" s="1" t="s">
        <v>1975</v>
      </c>
      <c r="C69" s="1" t="s">
        <v>1960</v>
      </c>
      <c r="D69" s="1" t="s">
        <v>1976</v>
      </c>
      <c r="E69" s="1" t="s">
        <v>1977</v>
      </c>
      <c r="F69" s="1" t="b">
        <v>1</v>
      </c>
      <c r="G69" s="1">
        <v>44636135094</v>
      </c>
    </row>
    <row r="70" spans="1:7" x14ac:dyDescent="0.25">
      <c r="A70" s="1">
        <v>69</v>
      </c>
      <c r="B70" s="1" t="s">
        <v>1978</v>
      </c>
      <c r="C70" s="1" t="s">
        <v>1979</v>
      </c>
      <c r="D70" s="1" t="s">
        <v>1980</v>
      </c>
      <c r="E70" s="1" t="s">
        <v>1981</v>
      </c>
      <c r="F70" s="1" t="b">
        <v>1</v>
      </c>
      <c r="G70" s="1">
        <v>25005099632</v>
      </c>
    </row>
    <row r="71" spans="1:7" x14ac:dyDescent="0.25">
      <c r="A71" s="1">
        <v>70</v>
      </c>
      <c r="B71" s="1" t="s">
        <v>1982</v>
      </c>
      <c r="C71" s="1" t="s">
        <v>1983</v>
      </c>
      <c r="D71" s="1"/>
      <c r="E71" s="1" t="s">
        <v>1984</v>
      </c>
      <c r="F71" s="1" t="b">
        <v>1</v>
      </c>
      <c r="G71" s="1">
        <v>14147834133</v>
      </c>
    </row>
    <row r="72" spans="1:7" x14ac:dyDescent="0.25">
      <c r="A72" s="1">
        <v>71</v>
      </c>
      <c r="B72" s="1" t="s">
        <v>1985</v>
      </c>
      <c r="C72" s="1" t="s">
        <v>1986</v>
      </c>
      <c r="D72" s="1" t="s">
        <v>1987</v>
      </c>
      <c r="E72" s="1" t="s">
        <v>1988</v>
      </c>
      <c r="F72" s="1" t="b">
        <v>1</v>
      </c>
      <c r="G72" s="1">
        <v>53603953019</v>
      </c>
    </row>
    <row r="73" spans="1:7" x14ac:dyDescent="0.25">
      <c r="A73" s="1">
        <v>72</v>
      </c>
      <c r="B73" s="1" t="s">
        <v>1989</v>
      </c>
      <c r="C73" s="1" t="s">
        <v>1990</v>
      </c>
      <c r="D73" s="1" t="s">
        <v>1991</v>
      </c>
      <c r="E73" s="1" t="s">
        <v>1992</v>
      </c>
      <c r="F73" s="1" t="b">
        <v>1</v>
      </c>
      <c r="G73" s="1">
        <v>28068134672</v>
      </c>
    </row>
    <row r="74" spans="1:7" x14ac:dyDescent="0.25">
      <c r="A74" s="1">
        <v>73</v>
      </c>
      <c r="B74" s="1" t="s">
        <v>1993</v>
      </c>
      <c r="C74" s="1" t="s">
        <v>1990</v>
      </c>
      <c r="D74" s="1" t="s">
        <v>1994</v>
      </c>
      <c r="E74" s="1" t="s">
        <v>1995</v>
      </c>
      <c r="F74" s="1" t="b">
        <v>1</v>
      </c>
      <c r="G74" s="1">
        <v>73615246118</v>
      </c>
    </row>
    <row r="75" spans="1:7" x14ac:dyDescent="0.25">
      <c r="A75" s="1">
        <v>74</v>
      </c>
      <c r="B75" s="1" t="s">
        <v>1996</v>
      </c>
      <c r="C75" s="1" t="s">
        <v>1997</v>
      </c>
      <c r="D75" s="1" t="s">
        <v>1998</v>
      </c>
      <c r="E75" s="1" t="s">
        <v>1999</v>
      </c>
      <c r="F75" s="1" t="b">
        <v>1</v>
      </c>
      <c r="G75" s="1">
        <v>96146398478</v>
      </c>
    </row>
    <row r="76" spans="1:7" x14ac:dyDescent="0.25">
      <c r="A76" s="1">
        <v>75</v>
      </c>
      <c r="B76" s="1" t="s">
        <v>2000</v>
      </c>
      <c r="C76" s="1" t="s">
        <v>2001</v>
      </c>
      <c r="D76" s="1" t="s">
        <v>2002</v>
      </c>
      <c r="E76" s="1" t="s">
        <v>2003</v>
      </c>
      <c r="F76" s="1" t="b">
        <v>1</v>
      </c>
      <c r="G76" s="1">
        <v>75097686130</v>
      </c>
    </row>
    <row r="77" spans="1:7" x14ac:dyDescent="0.25">
      <c r="A77" s="1">
        <v>76</v>
      </c>
      <c r="B77" s="1" t="s">
        <v>2004</v>
      </c>
      <c r="C77" s="1" t="s">
        <v>2005</v>
      </c>
      <c r="D77" s="1" t="s">
        <v>2006</v>
      </c>
      <c r="E77" s="1" t="s">
        <v>2007</v>
      </c>
      <c r="F77" s="1" t="b">
        <v>1</v>
      </c>
      <c r="G77" s="1">
        <v>61130823933</v>
      </c>
    </row>
    <row r="78" spans="1:7" x14ac:dyDescent="0.25">
      <c r="A78" s="1">
        <v>77</v>
      </c>
      <c r="B78" s="1" t="s">
        <v>2008</v>
      </c>
      <c r="C78" s="1" t="s">
        <v>2009</v>
      </c>
      <c r="D78" s="1" t="s">
        <v>2010</v>
      </c>
      <c r="E78" s="1" t="s">
        <v>2011</v>
      </c>
      <c r="F78" s="1" t="b">
        <v>1</v>
      </c>
      <c r="G78" s="1">
        <v>50077737396</v>
      </c>
    </row>
    <row r="79" spans="1:7" x14ac:dyDescent="0.25">
      <c r="A79" s="1">
        <v>78</v>
      </c>
      <c r="B79" s="1" t="s">
        <v>2012</v>
      </c>
      <c r="C79" s="1" t="s">
        <v>2013</v>
      </c>
      <c r="D79" s="1" t="s">
        <v>2014</v>
      </c>
      <c r="E79" s="1" t="s">
        <v>2015</v>
      </c>
      <c r="F79" s="1" t="b">
        <v>1</v>
      </c>
      <c r="G79" s="1">
        <v>99006697338</v>
      </c>
    </row>
    <row r="80" spans="1:7" x14ac:dyDescent="0.25">
      <c r="A80" s="1">
        <v>79</v>
      </c>
      <c r="B80" s="1" t="s">
        <v>2016</v>
      </c>
      <c r="C80" s="1" t="s">
        <v>2017</v>
      </c>
      <c r="D80" s="1" t="s">
        <v>2018</v>
      </c>
      <c r="E80" s="1" t="s">
        <v>2019</v>
      </c>
      <c r="F80" s="1" t="b">
        <v>1</v>
      </c>
      <c r="G80" s="1">
        <v>83641467558</v>
      </c>
    </row>
    <row r="81" spans="1:7" x14ac:dyDescent="0.25">
      <c r="A81" s="1">
        <v>80</v>
      </c>
      <c r="B81" s="1" t="s">
        <v>2020</v>
      </c>
      <c r="C81" s="1" t="s">
        <v>2021</v>
      </c>
      <c r="D81" s="1" t="s">
        <v>2022</v>
      </c>
      <c r="E81" s="1" t="s">
        <v>2023</v>
      </c>
      <c r="F81" s="1" t="b">
        <v>1</v>
      </c>
      <c r="G81" s="1">
        <v>34167594685</v>
      </c>
    </row>
    <row r="82" spans="1:7" x14ac:dyDescent="0.25">
      <c r="A82" s="1">
        <v>81</v>
      </c>
      <c r="B82" s="1" t="s">
        <v>2021</v>
      </c>
      <c r="C82" s="1" t="s">
        <v>2021</v>
      </c>
      <c r="D82" s="1"/>
      <c r="E82" s="1" t="s">
        <v>2024</v>
      </c>
      <c r="F82" s="1" t="b">
        <v>1</v>
      </c>
      <c r="G82" s="1">
        <v>81137960582</v>
      </c>
    </row>
    <row r="83" spans="1:7" x14ac:dyDescent="0.25">
      <c r="A83" s="1">
        <v>82</v>
      </c>
      <c r="B83" s="1" t="s">
        <v>2025</v>
      </c>
      <c r="C83" s="1" t="s">
        <v>2026</v>
      </c>
      <c r="D83" s="1" t="s">
        <v>2027</v>
      </c>
      <c r="E83" s="1" t="s">
        <v>2028</v>
      </c>
      <c r="F83" s="1" t="b">
        <v>1</v>
      </c>
      <c r="G83" s="1">
        <v>51624255223</v>
      </c>
    </row>
    <row r="84" spans="1:7" x14ac:dyDescent="0.25">
      <c r="A84" s="1">
        <v>83</v>
      </c>
      <c r="B84" s="1" t="s">
        <v>2029</v>
      </c>
      <c r="C84" s="1" t="s">
        <v>1816</v>
      </c>
      <c r="D84" s="1" t="s">
        <v>2030</v>
      </c>
      <c r="E84" s="1" t="s">
        <v>2031</v>
      </c>
      <c r="F84" s="1" t="b">
        <v>1</v>
      </c>
      <c r="G84" s="1">
        <v>11124779148</v>
      </c>
    </row>
    <row r="85" spans="1:7" x14ac:dyDescent="0.25">
      <c r="A85" s="1">
        <v>84</v>
      </c>
      <c r="B85" s="1" t="s">
        <v>2032</v>
      </c>
      <c r="C85" s="1" t="s">
        <v>2033</v>
      </c>
      <c r="D85" s="1" t="s">
        <v>2034</v>
      </c>
      <c r="E85" s="1" t="s">
        <v>2035</v>
      </c>
      <c r="F85" s="1" t="b">
        <v>1</v>
      </c>
      <c r="G85" s="1">
        <v>60661051565</v>
      </c>
    </row>
    <row r="86" spans="1:7" x14ac:dyDescent="0.25">
      <c r="A86" s="1">
        <v>85</v>
      </c>
      <c r="B86" s="1" t="s">
        <v>2036</v>
      </c>
      <c r="C86" s="1" t="s">
        <v>2037</v>
      </c>
      <c r="D86" s="1" t="s">
        <v>2038</v>
      </c>
      <c r="E86" s="1" t="s">
        <v>2039</v>
      </c>
      <c r="F86" s="1" t="b">
        <v>1</v>
      </c>
      <c r="G86" s="1">
        <v>88108718350</v>
      </c>
    </row>
    <row r="87" spans="1:7" x14ac:dyDescent="0.25">
      <c r="A87" s="1">
        <v>86</v>
      </c>
      <c r="B87" s="1" t="s">
        <v>2040</v>
      </c>
      <c r="C87" s="1" t="s">
        <v>2041</v>
      </c>
      <c r="D87" s="1" t="s">
        <v>2042</v>
      </c>
      <c r="E87" s="1" t="s">
        <v>2043</v>
      </c>
      <c r="F87" s="1" t="b">
        <v>1</v>
      </c>
      <c r="G87" s="1">
        <v>50092239113</v>
      </c>
    </row>
    <row r="88" spans="1:7" x14ac:dyDescent="0.25">
      <c r="A88" s="1">
        <v>87</v>
      </c>
      <c r="B88" s="1" t="s">
        <v>2044</v>
      </c>
      <c r="C88" s="1" t="s">
        <v>2045</v>
      </c>
      <c r="D88" s="1" t="s">
        <v>2046</v>
      </c>
      <c r="E88" s="1" t="s">
        <v>2047</v>
      </c>
      <c r="F88" s="1" t="b">
        <v>1</v>
      </c>
      <c r="G88" s="1">
        <v>42137934055</v>
      </c>
    </row>
    <row r="89" spans="1:7" x14ac:dyDescent="0.25">
      <c r="A89" s="1">
        <v>88</v>
      </c>
      <c r="B89" s="1" t="s">
        <v>2048</v>
      </c>
      <c r="C89" s="1" t="s">
        <v>2049</v>
      </c>
      <c r="D89" s="1" t="s">
        <v>2050</v>
      </c>
      <c r="E89" s="1" t="s">
        <v>2051</v>
      </c>
      <c r="F89" s="1" t="b">
        <v>1</v>
      </c>
      <c r="G89" s="1">
        <v>53104620322</v>
      </c>
    </row>
    <row r="90" spans="1:7" x14ac:dyDescent="0.25">
      <c r="A90" s="1">
        <v>89</v>
      </c>
      <c r="B90" s="1" t="s">
        <v>2052</v>
      </c>
      <c r="C90" s="1" t="s">
        <v>2053</v>
      </c>
      <c r="D90" s="1" t="s">
        <v>2054</v>
      </c>
      <c r="E90" s="1" t="s">
        <v>2055</v>
      </c>
      <c r="F90" s="1" t="b">
        <v>1</v>
      </c>
      <c r="G90" s="1">
        <v>59632942584</v>
      </c>
    </row>
    <row r="91" spans="1:7" x14ac:dyDescent="0.25">
      <c r="A91" s="1">
        <v>90</v>
      </c>
      <c r="B91" s="1" t="s">
        <v>2056</v>
      </c>
      <c r="C91" s="1" t="s">
        <v>2053</v>
      </c>
      <c r="D91" s="1" t="s">
        <v>2057</v>
      </c>
      <c r="E91" s="1" t="s">
        <v>2058</v>
      </c>
      <c r="F91" s="1" t="b">
        <v>1</v>
      </c>
      <c r="G91" s="1">
        <v>11165683349</v>
      </c>
    </row>
    <row r="92" spans="1:7" x14ac:dyDescent="0.25">
      <c r="A92" s="1">
        <v>91</v>
      </c>
      <c r="B92" s="1" t="s">
        <v>2059</v>
      </c>
      <c r="C92" s="1" t="s">
        <v>2060</v>
      </c>
      <c r="D92" s="1" t="s">
        <v>2061</v>
      </c>
      <c r="E92" s="1" t="s">
        <v>2062</v>
      </c>
      <c r="F92" s="1" t="b">
        <v>1</v>
      </c>
      <c r="G92" s="1">
        <v>30099948786</v>
      </c>
    </row>
    <row r="93" spans="1:7" x14ac:dyDescent="0.25">
      <c r="A93" s="1">
        <v>92</v>
      </c>
      <c r="B93" s="1" t="s">
        <v>2063</v>
      </c>
      <c r="C93" s="1" t="s">
        <v>2064</v>
      </c>
      <c r="D93" s="1" t="s">
        <v>2065</v>
      </c>
      <c r="E93" s="1" t="s">
        <v>2066</v>
      </c>
      <c r="F93" s="1" t="b">
        <v>1</v>
      </c>
      <c r="G93" s="1">
        <v>11091247951</v>
      </c>
    </row>
    <row r="94" spans="1:7" x14ac:dyDescent="0.25">
      <c r="A94" s="1">
        <v>93</v>
      </c>
      <c r="B94" s="1" t="s">
        <v>2067</v>
      </c>
      <c r="C94" s="1" t="s">
        <v>2068</v>
      </c>
      <c r="D94" s="1" t="s">
        <v>2069</v>
      </c>
      <c r="E94" s="1" t="s">
        <v>2070</v>
      </c>
      <c r="F94" s="1" t="b">
        <v>1</v>
      </c>
      <c r="G94" s="1">
        <v>72633993218</v>
      </c>
    </row>
    <row r="95" spans="1:7" x14ac:dyDescent="0.25">
      <c r="A95" s="1">
        <v>94</v>
      </c>
      <c r="B95" s="1" t="s">
        <v>2071</v>
      </c>
      <c r="C95" s="1" t="s">
        <v>2068</v>
      </c>
      <c r="D95" s="1" t="s">
        <v>2072</v>
      </c>
      <c r="E95" s="1" t="s">
        <v>2073</v>
      </c>
      <c r="F95" s="1" t="b">
        <v>1</v>
      </c>
      <c r="G95" s="1">
        <v>91160983246</v>
      </c>
    </row>
    <row r="96" spans="1:7" x14ac:dyDescent="0.25">
      <c r="A96" s="1">
        <v>95</v>
      </c>
      <c r="B96" s="1" t="s">
        <v>2074</v>
      </c>
      <c r="C96" s="1" t="s">
        <v>2068</v>
      </c>
      <c r="D96" s="1" t="s">
        <v>2075</v>
      </c>
      <c r="E96" s="1" t="s">
        <v>2076</v>
      </c>
      <c r="F96" s="1" t="b">
        <v>1</v>
      </c>
      <c r="G96" s="1">
        <v>84632994542</v>
      </c>
    </row>
    <row r="97" spans="1:7" x14ac:dyDescent="0.25">
      <c r="A97" s="1">
        <v>96</v>
      </c>
      <c r="B97" s="1" t="s">
        <v>2077</v>
      </c>
      <c r="C97" s="1" t="s">
        <v>2068</v>
      </c>
      <c r="D97" s="1" t="s">
        <v>1832</v>
      </c>
      <c r="E97" s="1" t="s">
        <v>2078</v>
      </c>
      <c r="F97" s="1" t="b">
        <v>1</v>
      </c>
      <c r="G97" s="1">
        <v>72615255466</v>
      </c>
    </row>
    <row r="98" spans="1:7" x14ac:dyDescent="0.25">
      <c r="A98" s="1">
        <v>97</v>
      </c>
      <c r="B98" s="1" t="s">
        <v>2079</v>
      </c>
      <c r="C98" s="1" t="s">
        <v>2068</v>
      </c>
      <c r="D98" s="1" t="s">
        <v>2080</v>
      </c>
      <c r="E98" s="1" t="s">
        <v>2081</v>
      </c>
      <c r="F98" s="1" t="b">
        <v>1</v>
      </c>
      <c r="G98" s="1">
        <v>52655705114</v>
      </c>
    </row>
    <row r="99" spans="1:7" x14ac:dyDescent="0.25">
      <c r="A99" s="1">
        <v>98</v>
      </c>
      <c r="B99" s="1" t="s">
        <v>2082</v>
      </c>
      <c r="C99" s="1" t="s">
        <v>2083</v>
      </c>
      <c r="D99" s="1" t="s">
        <v>2084</v>
      </c>
      <c r="E99" s="1" t="s">
        <v>2085</v>
      </c>
      <c r="F99" s="1" t="b">
        <v>1</v>
      </c>
      <c r="G99" s="1">
        <v>48109484004</v>
      </c>
    </row>
    <row r="100" spans="1:7" x14ac:dyDescent="0.25">
      <c r="A100" s="1">
        <v>99</v>
      </c>
      <c r="B100" s="1" t="s">
        <v>2086</v>
      </c>
      <c r="C100" s="1" t="s">
        <v>2083</v>
      </c>
      <c r="D100" s="1" t="s">
        <v>2087</v>
      </c>
      <c r="E100" s="1" t="s">
        <v>2088</v>
      </c>
      <c r="F100" s="1" t="b">
        <v>1</v>
      </c>
      <c r="G100" s="1">
        <v>30665847932</v>
      </c>
    </row>
    <row r="101" spans="1:7" x14ac:dyDescent="0.25">
      <c r="A101" s="1">
        <v>100</v>
      </c>
      <c r="B101" s="1" t="s">
        <v>2089</v>
      </c>
      <c r="C101" s="1" t="s">
        <v>2090</v>
      </c>
      <c r="D101" s="1" t="s">
        <v>2091</v>
      </c>
      <c r="E101" s="1" t="s">
        <v>2092</v>
      </c>
      <c r="F101" s="1" t="b">
        <v>1</v>
      </c>
      <c r="G101" s="1">
        <v>72001231607</v>
      </c>
    </row>
    <row r="102" spans="1:7" x14ac:dyDescent="0.25">
      <c r="A102" s="1">
        <v>101</v>
      </c>
      <c r="B102" s="1" t="s">
        <v>2093</v>
      </c>
      <c r="C102" s="1" t="s">
        <v>2094</v>
      </c>
      <c r="D102" s="1" t="s">
        <v>2095</v>
      </c>
      <c r="E102" s="1" t="s">
        <v>2096</v>
      </c>
      <c r="F102" s="1" t="b">
        <v>1</v>
      </c>
      <c r="G102" s="1">
        <v>58133136400</v>
      </c>
    </row>
    <row r="103" spans="1:7" x14ac:dyDescent="0.25">
      <c r="A103" s="1">
        <v>102</v>
      </c>
      <c r="B103" s="1" t="s">
        <v>2097</v>
      </c>
      <c r="C103" s="1" t="s">
        <v>2098</v>
      </c>
      <c r="D103" s="1" t="s">
        <v>2099</v>
      </c>
      <c r="E103" s="1" t="s">
        <v>2100</v>
      </c>
      <c r="F103" s="1" t="b">
        <v>1</v>
      </c>
      <c r="G103" s="1">
        <v>30009206722</v>
      </c>
    </row>
    <row r="104" spans="1:7" x14ac:dyDescent="0.25">
      <c r="A104" s="1">
        <v>103</v>
      </c>
      <c r="B104" s="1" t="s">
        <v>2101</v>
      </c>
      <c r="C104" s="1" t="s">
        <v>2102</v>
      </c>
      <c r="D104" s="1" t="s">
        <v>2103</v>
      </c>
      <c r="E104" s="1" t="s">
        <v>2104</v>
      </c>
      <c r="F104" s="1" t="b">
        <v>1</v>
      </c>
      <c r="G104" s="1">
        <v>52600073087</v>
      </c>
    </row>
    <row r="105" spans="1:7" x14ac:dyDescent="0.25">
      <c r="A105" s="1">
        <v>104</v>
      </c>
      <c r="B105" s="1" t="s">
        <v>2105</v>
      </c>
      <c r="C105" s="1" t="s">
        <v>2106</v>
      </c>
      <c r="D105" s="1" t="s">
        <v>2107</v>
      </c>
      <c r="E105" s="1" t="s">
        <v>2108</v>
      </c>
      <c r="F105" s="1" t="b">
        <v>1</v>
      </c>
      <c r="G105" s="1">
        <v>73615246118</v>
      </c>
    </row>
    <row r="106" spans="1:7" x14ac:dyDescent="0.25">
      <c r="A106" s="1">
        <v>105</v>
      </c>
      <c r="B106" s="1" t="s">
        <v>2109</v>
      </c>
      <c r="C106" s="1" t="s">
        <v>2110</v>
      </c>
      <c r="D106" s="1" t="s">
        <v>2111</v>
      </c>
      <c r="E106" s="1" t="s">
        <v>2112</v>
      </c>
      <c r="F106" s="1" t="b">
        <v>1</v>
      </c>
      <c r="G106" s="1">
        <v>20654502557</v>
      </c>
    </row>
    <row r="107" spans="1:7" x14ac:dyDescent="0.25">
      <c r="A107" s="1">
        <v>106</v>
      </c>
      <c r="B107" s="1" t="s">
        <v>2113</v>
      </c>
      <c r="C107" s="1" t="s">
        <v>2114</v>
      </c>
      <c r="D107" s="1" t="s">
        <v>2115</v>
      </c>
      <c r="E107" s="1" t="s">
        <v>2116</v>
      </c>
      <c r="F107" s="1" t="b">
        <v>1</v>
      </c>
      <c r="G107" s="1">
        <v>11124779148</v>
      </c>
    </row>
    <row r="108" spans="1:7" x14ac:dyDescent="0.25">
      <c r="A108" s="1">
        <v>107</v>
      </c>
      <c r="B108" s="1" t="s">
        <v>2117</v>
      </c>
      <c r="C108" s="1" t="s">
        <v>2118</v>
      </c>
      <c r="D108" s="1" t="s">
        <v>2119</v>
      </c>
      <c r="E108" s="1" t="s">
        <v>2120</v>
      </c>
      <c r="F108" s="1" t="b">
        <v>1</v>
      </c>
      <c r="G108" s="1">
        <v>62008668291</v>
      </c>
    </row>
    <row r="109" spans="1:7" x14ac:dyDescent="0.25">
      <c r="A109" s="1">
        <v>108</v>
      </c>
      <c r="B109" s="1" t="s">
        <v>2121</v>
      </c>
      <c r="C109" s="1" t="s">
        <v>2118</v>
      </c>
      <c r="D109" s="1" t="s">
        <v>2122</v>
      </c>
      <c r="E109" s="1" t="s">
        <v>2123</v>
      </c>
      <c r="F109" s="1" t="b">
        <v>1</v>
      </c>
      <c r="G109" s="1">
        <v>80005538947</v>
      </c>
    </row>
    <row r="110" spans="1:7" x14ac:dyDescent="0.25">
      <c r="A110" s="1">
        <v>109</v>
      </c>
      <c r="B110" s="1" t="s">
        <v>2124</v>
      </c>
      <c r="C110" s="1" t="s">
        <v>2125</v>
      </c>
      <c r="D110" s="1" t="s">
        <v>2126</v>
      </c>
      <c r="E110" s="1" t="s">
        <v>2127</v>
      </c>
      <c r="F110" s="1" t="b">
        <v>1</v>
      </c>
      <c r="G110" s="1">
        <v>53001215327</v>
      </c>
    </row>
    <row r="111" spans="1:7" x14ac:dyDescent="0.25">
      <c r="A111" s="1">
        <v>110</v>
      </c>
      <c r="B111" s="1" t="s">
        <v>2128</v>
      </c>
      <c r="C111" s="1" t="s">
        <v>2129</v>
      </c>
      <c r="D111" s="1" t="s">
        <v>2130</v>
      </c>
      <c r="E111" s="1" t="s">
        <v>2131</v>
      </c>
      <c r="F111" s="1" t="b">
        <v>1</v>
      </c>
      <c r="G111" s="1">
        <v>22295128214</v>
      </c>
    </row>
    <row r="112" spans="1:7" x14ac:dyDescent="0.25">
      <c r="A112" s="1">
        <v>111</v>
      </c>
      <c r="B112" s="1" t="s">
        <v>2132</v>
      </c>
      <c r="C112" s="1" t="s">
        <v>2133</v>
      </c>
      <c r="D112" s="1" t="s">
        <v>2134</v>
      </c>
      <c r="E112" s="1" t="s">
        <v>2135</v>
      </c>
      <c r="F112" s="1" t="b">
        <v>1</v>
      </c>
      <c r="G112" s="1">
        <v>92107423156</v>
      </c>
    </row>
    <row r="113" spans="1:7" x14ac:dyDescent="0.25">
      <c r="A113" s="1">
        <v>112</v>
      </c>
      <c r="B113" s="1" t="s">
        <v>2136</v>
      </c>
      <c r="C113" s="1" t="s">
        <v>2137</v>
      </c>
      <c r="D113" s="1" t="s">
        <v>2138</v>
      </c>
      <c r="E113" s="1" t="s">
        <v>2139</v>
      </c>
      <c r="F113" s="1" t="b">
        <v>1</v>
      </c>
      <c r="G113" s="1">
        <v>59082132394</v>
      </c>
    </row>
    <row r="114" spans="1:7" x14ac:dyDescent="0.25">
      <c r="A114" s="1">
        <v>113</v>
      </c>
      <c r="B114" s="1" t="s">
        <v>2140</v>
      </c>
      <c r="C114" s="1" t="s">
        <v>2137</v>
      </c>
      <c r="D114" s="1" t="s">
        <v>2141</v>
      </c>
      <c r="E114" s="1" t="s">
        <v>2142</v>
      </c>
      <c r="F114" s="1" t="b">
        <v>1</v>
      </c>
      <c r="G114" s="1">
        <v>49115288527</v>
      </c>
    </row>
    <row r="115" spans="1:7" x14ac:dyDescent="0.25">
      <c r="A115" s="1">
        <v>114</v>
      </c>
      <c r="B115" s="1" t="s">
        <v>2143</v>
      </c>
      <c r="C115" s="1" t="s">
        <v>2144</v>
      </c>
      <c r="D115" s="1" t="s">
        <v>2145</v>
      </c>
      <c r="E115" s="1" t="s">
        <v>2146</v>
      </c>
      <c r="F115" s="1" t="b">
        <v>1</v>
      </c>
      <c r="G115" s="1">
        <v>98608665434</v>
      </c>
    </row>
    <row r="116" spans="1:7" x14ac:dyDescent="0.25">
      <c r="A116" s="1">
        <v>115</v>
      </c>
      <c r="B116" s="1" t="s">
        <v>2147</v>
      </c>
      <c r="C116" s="1" t="s">
        <v>2148</v>
      </c>
      <c r="D116" s="1" t="s">
        <v>1760</v>
      </c>
      <c r="E116" s="1" t="s">
        <v>2149</v>
      </c>
      <c r="F116" s="1" t="b">
        <v>1</v>
      </c>
      <c r="G116" s="1">
        <v>70612915367</v>
      </c>
    </row>
    <row r="117" spans="1:7" x14ac:dyDescent="0.25">
      <c r="A117" s="1">
        <v>116</v>
      </c>
      <c r="B117" s="1" t="s">
        <v>2150</v>
      </c>
      <c r="C117" s="1" t="s">
        <v>2148</v>
      </c>
      <c r="D117" s="1" t="s">
        <v>2151</v>
      </c>
      <c r="E117" s="1" t="s">
        <v>2152</v>
      </c>
      <c r="F117" s="1" t="b">
        <v>1</v>
      </c>
      <c r="G117" s="1">
        <v>51064081956</v>
      </c>
    </row>
    <row r="118" spans="1:7" x14ac:dyDescent="0.25">
      <c r="A118" s="1">
        <v>117</v>
      </c>
      <c r="B118" s="1" t="s">
        <v>2153</v>
      </c>
      <c r="C118" s="1" t="s">
        <v>2148</v>
      </c>
      <c r="D118" s="1" t="s">
        <v>2154</v>
      </c>
      <c r="E118" s="1" t="s">
        <v>2155</v>
      </c>
      <c r="F118" s="1" t="b">
        <v>1</v>
      </c>
      <c r="G118" s="1">
        <v>56072772037</v>
      </c>
    </row>
    <row r="119" spans="1:7" x14ac:dyDescent="0.25">
      <c r="A119" s="1">
        <v>118</v>
      </c>
      <c r="B119" s="1" t="s">
        <v>2156</v>
      </c>
      <c r="C119" s="1" t="s">
        <v>2157</v>
      </c>
      <c r="D119" s="1" t="s">
        <v>2158</v>
      </c>
      <c r="E119" s="1" t="s">
        <v>2159</v>
      </c>
      <c r="F119" s="1" t="b">
        <v>1</v>
      </c>
      <c r="G119" s="1">
        <v>40078243526</v>
      </c>
    </row>
    <row r="120" spans="1:7" x14ac:dyDescent="0.25">
      <c r="A120" s="1">
        <v>119</v>
      </c>
      <c r="B120" s="1" t="s">
        <v>2160</v>
      </c>
      <c r="C120" s="1" t="s">
        <v>2161</v>
      </c>
      <c r="D120" s="1" t="s">
        <v>2162</v>
      </c>
      <c r="E120" s="1" t="s">
        <v>2163</v>
      </c>
      <c r="F120" s="1" t="b">
        <v>1</v>
      </c>
      <c r="G120" s="1">
        <v>38093127256</v>
      </c>
    </row>
    <row r="121" spans="1:7" x14ac:dyDescent="0.25">
      <c r="A121" s="1">
        <v>120</v>
      </c>
      <c r="B121" s="1" t="s">
        <v>2164</v>
      </c>
      <c r="C121" s="1" t="s">
        <v>2165</v>
      </c>
      <c r="D121" s="1" t="s">
        <v>2166</v>
      </c>
      <c r="E121" s="1" t="s">
        <v>2167</v>
      </c>
      <c r="F121" s="1" t="b">
        <v>1</v>
      </c>
      <c r="G121" s="1">
        <v>49157958177</v>
      </c>
    </row>
    <row r="122" spans="1:7" x14ac:dyDescent="0.25">
      <c r="A122" s="1">
        <v>121</v>
      </c>
      <c r="B122" s="1" t="s">
        <v>2168</v>
      </c>
      <c r="C122" s="1" t="s">
        <v>2165</v>
      </c>
      <c r="D122" s="1" t="s">
        <v>1800</v>
      </c>
      <c r="E122" s="1" t="s">
        <v>2169</v>
      </c>
      <c r="F122" s="1" t="b">
        <v>1</v>
      </c>
      <c r="G122" s="1">
        <v>37094906028</v>
      </c>
    </row>
    <row r="123" spans="1:7" x14ac:dyDescent="0.25">
      <c r="A123" s="1">
        <v>122</v>
      </c>
      <c r="B123" s="1" t="s">
        <v>2170</v>
      </c>
      <c r="C123" s="1" t="s">
        <v>2165</v>
      </c>
      <c r="D123" s="1" t="s">
        <v>2171</v>
      </c>
      <c r="E123" s="1" t="s">
        <v>2172</v>
      </c>
      <c r="F123" s="1" t="b">
        <v>1</v>
      </c>
      <c r="G123" s="1">
        <v>90003499849</v>
      </c>
    </row>
    <row r="124" spans="1:7" x14ac:dyDescent="0.25">
      <c r="A124" s="1">
        <v>123</v>
      </c>
      <c r="B124" s="1" t="s">
        <v>2173</v>
      </c>
      <c r="C124" s="1" t="s">
        <v>2174</v>
      </c>
      <c r="D124" s="1" t="s">
        <v>2175</v>
      </c>
      <c r="E124" s="1" t="s">
        <v>2176</v>
      </c>
      <c r="F124" s="1" t="b">
        <v>1</v>
      </c>
      <c r="G124" s="1">
        <v>90167205656</v>
      </c>
    </row>
    <row r="125" spans="1:7" x14ac:dyDescent="0.25">
      <c r="A125" s="1">
        <v>124</v>
      </c>
      <c r="B125" s="1" t="s">
        <v>2174</v>
      </c>
      <c r="C125" s="1" t="s">
        <v>2174</v>
      </c>
      <c r="D125" s="1"/>
      <c r="E125" s="1" t="s">
        <v>2177</v>
      </c>
      <c r="F125" s="1" t="b">
        <v>1</v>
      </c>
      <c r="G125" s="1">
        <v>41638942131</v>
      </c>
    </row>
    <row r="126" spans="1:7" x14ac:dyDescent="0.25">
      <c r="A126" s="1">
        <v>125</v>
      </c>
      <c r="B126" s="1" t="s">
        <v>2178</v>
      </c>
      <c r="C126" s="1" t="s">
        <v>2179</v>
      </c>
      <c r="D126" s="1" t="s">
        <v>2180</v>
      </c>
      <c r="E126" s="1" t="s">
        <v>2181</v>
      </c>
      <c r="F126" s="1" t="b">
        <v>1</v>
      </c>
      <c r="G126" s="1">
        <v>33631206178</v>
      </c>
    </row>
    <row r="127" spans="1:7" x14ac:dyDescent="0.25">
      <c r="A127" s="1">
        <v>126</v>
      </c>
      <c r="B127" s="1" t="s">
        <v>2182</v>
      </c>
      <c r="C127" s="1" t="s">
        <v>2179</v>
      </c>
      <c r="D127" s="1" t="s">
        <v>2183</v>
      </c>
      <c r="E127" s="1" t="s">
        <v>2184</v>
      </c>
      <c r="F127" s="1" t="b">
        <v>1</v>
      </c>
      <c r="G127" s="1">
        <v>89009242675</v>
      </c>
    </row>
    <row r="128" spans="1:7" x14ac:dyDescent="0.25">
      <c r="A128" s="1">
        <v>127</v>
      </c>
      <c r="B128" s="1" t="s">
        <v>2185</v>
      </c>
      <c r="C128" s="1" t="s">
        <v>2179</v>
      </c>
      <c r="D128" s="1" t="s">
        <v>2186</v>
      </c>
      <c r="E128" s="1" t="s">
        <v>2187</v>
      </c>
      <c r="F128" s="1" t="b">
        <v>1</v>
      </c>
      <c r="G128" s="1">
        <v>70147790261</v>
      </c>
    </row>
    <row r="129" spans="1:7" x14ac:dyDescent="0.25">
      <c r="A129" s="1">
        <v>128</v>
      </c>
      <c r="B129" s="1" t="s">
        <v>2188</v>
      </c>
      <c r="C129" s="1" t="s">
        <v>2179</v>
      </c>
      <c r="D129" s="1" t="s">
        <v>2189</v>
      </c>
      <c r="E129" s="1" t="s">
        <v>2190</v>
      </c>
      <c r="F129" s="1" t="b">
        <v>1</v>
      </c>
      <c r="G129" s="1">
        <v>50092239113</v>
      </c>
    </row>
    <row r="130" spans="1:7" x14ac:dyDescent="0.25">
      <c r="A130" s="1">
        <v>129</v>
      </c>
      <c r="B130" s="1" t="s">
        <v>2191</v>
      </c>
      <c r="C130" s="1" t="s">
        <v>2179</v>
      </c>
      <c r="D130" s="1" t="s">
        <v>2192</v>
      </c>
      <c r="E130" s="1" t="s">
        <v>2193</v>
      </c>
      <c r="F130" s="1" t="b">
        <v>1</v>
      </c>
      <c r="G130" s="1">
        <v>27624650406</v>
      </c>
    </row>
    <row r="131" spans="1:7" x14ac:dyDescent="0.25">
      <c r="A131" s="1">
        <v>130</v>
      </c>
      <c r="B131" s="1" t="s">
        <v>2194</v>
      </c>
      <c r="C131" s="1" t="s">
        <v>2195</v>
      </c>
      <c r="D131" s="1" t="s">
        <v>2196</v>
      </c>
      <c r="E131" s="1" t="s">
        <v>2197</v>
      </c>
      <c r="F131" s="1" t="b">
        <v>1</v>
      </c>
      <c r="G131" s="1">
        <v>68609740105</v>
      </c>
    </row>
    <row r="132" spans="1:7" x14ac:dyDescent="0.25">
      <c r="A132" s="1">
        <v>131</v>
      </c>
      <c r="B132" s="1" t="s">
        <v>2198</v>
      </c>
      <c r="C132" s="1" t="s">
        <v>2199</v>
      </c>
      <c r="D132" s="1" t="s">
        <v>2200</v>
      </c>
      <c r="E132" s="1" t="s">
        <v>2201</v>
      </c>
      <c r="F132" s="1" t="b">
        <v>1</v>
      </c>
      <c r="G132" s="1">
        <v>34000526385</v>
      </c>
    </row>
    <row r="133" spans="1:7" x14ac:dyDescent="0.25">
      <c r="A133" s="1">
        <v>132</v>
      </c>
      <c r="B133" s="1" t="s">
        <v>2202</v>
      </c>
      <c r="C133" s="1" t="s">
        <v>2203</v>
      </c>
      <c r="D133" s="1" t="s">
        <v>2204</v>
      </c>
      <c r="E133" s="1" t="s">
        <v>2205</v>
      </c>
      <c r="F133" s="1" t="b">
        <v>1</v>
      </c>
      <c r="G133" s="1">
        <v>65631934971</v>
      </c>
    </row>
    <row r="134" spans="1:7" x14ac:dyDescent="0.25">
      <c r="A134" s="1">
        <v>133</v>
      </c>
      <c r="B134" s="1" t="s">
        <v>2206</v>
      </c>
      <c r="C134" s="1" t="s">
        <v>2207</v>
      </c>
      <c r="D134" s="1" t="s">
        <v>2208</v>
      </c>
      <c r="E134" s="1" t="s">
        <v>2209</v>
      </c>
      <c r="F134" s="1" t="b">
        <v>1</v>
      </c>
      <c r="G134" s="1">
        <v>94623690031</v>
      </c>
    </row>
    <row r="135" spans="1:7" x14ac:dyDescent="0.25">
      <c r="A135" s="1">
        <v>134</v>
      </c>
      <c r="B135" s="1" t="s">
        <v>2210</v>
      </c>
      <c r="C135" s="1" t="s">
        <v>2211</v>
      </c>
      <c r="D135" s="1" t="s">
        <v>2212</v>
      </c>
      <c r="E135" s="1" t="s">
        <v>2213</v>
      </c>
      <c r="F135" s="1" t="b">
        <v>1</v>
      </c>
      <c r="G135" s="1">
        <v>70068064817</v>
      </c>
    </row>
    <row r="136" spans="1:7" x14ac:dyDescent="0.25">
      <c r="A136" s="1">
        <v>135</v>
      </c>
      <c r="B136" s="1" t="s">
        <v>2214</v>
      </c>
      <c r="C136" s="1" t="s">
        <v>2211</v>
      </c>
      <c r="D136" s="1" t="s">
        <v>2215</v>
      </c>
      <c r="E136" s="1" t="s">
        <v>2216</v>
      </c>
      <c r="F136" s="1" t="b">
        <v>1</v>
      </c>
      <c r="G136" s="1">
        <v>74096169416</v>
      </c>
    </row>
    <row r="137" spans="1:7" x14ac:dyDescent="0.25">
      <c r="A137" s="1">
        <v>136</v>
      </c>
      <c r="B137" s="1" t="s">
        <v>2214</v>
      </c>
      <c r="C137" s="1" t="s">
        <v>2211</v>
      </c>
      <c r="D137" s="1" t="s">
        <v>2215</v>
      </c>
      <c r="E137" s="1" t="s">
        <v>2217</v>
      </c>
      <c r="F137" s="1" t="b">
        <v>1</v>
      </c>
      <c r="G137" s="1">
        <v>74096169416</v>
      </c>
    </row>
    <row r="138" spans="1:7" x14ac:dyDescent="0.25">
      <c r="A138" s="1">
        <v>137</v>
      </c>
      <c r="B138" s="1" t="s">
        <v>2218</v>
      </c>
      <c r="C138" s="1" t="s">
        <v>2218</v>
      </c>
      <c r="D138" s="1"/>
      <c r="E138" s="1" t="s">
        <v>2219</v>
      </c>
      <c r="F138" s="1" t="b">
        <v>1</v>
      </c>
      <c r="G138" s="1">
        <v>25100435363</v>
      </c>
    </row>
    <row r="139" spans="1:7" x14ac:dyDescent="0.25">
      <c r="A139" s="1">
        <v>138</v>
      </c>
      <c r="B139" s="1" t="s">
        <v>2220</v>
      </c>
      <c r="C139" s="1" t="s">
        <v>2221</v>
      </c>
      <c r="D139" s="1" t="s">
        <v>2222</v>
      </c>
      <c r="E139" s="1" t="s">
        <v>2223</v>
      </c>
      <c r="F139" s="1" t="b">
        <v>1</v>
      </c>
      <c r="G139" s="1">
        <v>84612885471</v>
      </c>
    </row>
    <row r="140" spans="1:7" x14ac:dyDescent="0.25">
      <c r="A140" s="1">
        <v>139</v>
      </c>
      <c r="B140" s="1" t="s">
        <v>2224</v>
      </c>
      <c r="C140" s="1" t="s">
        <v>2225</v>
      </c>
      <c r="D140" s="1" t="s">
        <v>2226</v>
      </c>
      <c r="E140" s="1" t="s">
        <v>2227</v>
      </c>
      <c r="F140" s="1" t="b">
        <v>1</v>
      </c>
      <c r="G140" s="1">
        <v>50152638447</v>
      </c>
    </row>
    <row r="141" spans="1:7" x14ac:dyDescent="0.25">
      <c r="A141" s="1">
        <v>140</v>
      </c>
      <c r="B141" s="1" t="s">
        <v>2228</v>
      </c>
      <c r="C141" s="1" t="s">
        <v>2229</v>
      </c>
      <c r="D141" s="1" t="s">
        <v>2230</v>
      </c>
      <c r="E141" s="1" t="s">
        <v>2231</v>
      </c>
      <c r="F141" s="1" t="b">
        <v>1</v>
      </c>
      <c r="G141" s="1">
        <v>97153464469</v>
      </c>
    </row>
    <row r="142" spans="1:7" x14ac:dyDescent="0.25">
      <c r="A142" s="1">
        <v>141</v>
      </c>
      <c r="B142" s="1" t="s">
        <v>2232</v>
      </c>
      <c r="C142" s="1" t="s">
        <v>2233</v>
      </c>
      <c r="D142" s="1" t="s">
        <v>2234</v>
      </c>
      <c r="E142" s="1" t="s">
        <v>2235</v>
      </c>
      <c r="F142" s="1" t="b">
        <v>1</v>
      </c>
      <c r="G142" s="1">
        <v>30626198847</v>
      </c>
    </row>
    <row r="143" spans="1:7" x14ac:dyDescent="0.25">
      <c r="A143" s="1">
        <v>142</v>
      </c>
      <c r="B143" s="1" t="s">
        <v>2236</v>
      </c>
      <c r="C143" s="1" t="s">
        <v>2237</v>
      </c>
      <c r="D143" s="1" t="s">
        <v>2238</v>
      </c>
      <c r="E143" s="1" t="s">
        <v>2239</v>
      </c>
      <c r="F143" s="1" t="b">
        <v>1</v>
      </c>
      <c r="G143" s="1">
        <v>97153464469</v>
      </c>
    </row>
    <row r="144" spans="1:7" x14ac:dyDescent="0.25">
      <c r="A144" s="1">
        <v>143</v>
      </c>
      <c r="B144" s="1" t="s">
        <v>2240</v>
      </c>
      <c r="C144" s="1" t="s">
        <v>2126</v>
      </c>
      <c r="D144" s="1" t="s">
        <v>2241</v>
      </c>
      <c r="E144" s="1" t="s">
        <v>2242</v>
      </c>
      <c r="F144" s="1" t="b">
        <v>1</v>
      </c>
      <c r="G144" s="1">
        <v>13127365039</v>
      </c>
    </row>
    <row r="145" spans="1:7" x14ac:dyDescent="0.25">
      <c r="A145" s="1">
        <v>144</v>
      </c>
      <c r="B145" s="1" t="s">
        <v>2243</v>
      </c>
      <c r="C145" s="1" t="s">
        <v>2244</v>
      </c>
      <c r="D145" s="1" t="s">
        <v>2061</v>
      </c>
      <c r="E145" s="1" t="s">
        <v>2245</v>
      </c>
      <c r="F145" s="1" t="b">
        <v>1</v>
      </c>
      <c r="G145" s="1">
        <v>50614066223</v>
      </c>
    </row>
    <row r="146" spans="1:7" x14ac:dyDescent="0.25">
      <c r="A146" s="1">
        <v>145</v>
      </c>
      <c r="B146" s="1" t="s">
        <v>2246</v>
      </c>
      <c r="C146" s="1" t="s">
        <v>2247</v>
      </c>
      <c r="D146" s="1" t="s">
        <v>2248</v>
      </c>
      <c r="E146" s="1" t="s">
        <v>2249</v>
      </c>
      <c r="F146" s="1" t="b">
        <v>1</v>
      </c>
      <c r="G146" s="1">
        <v>71630275222</v>
      </c>
    </row>
    <row r="147" spans="1:7" x14ac:dyDescent="0.25">
      <c r="A147" s="1">
        <v>146</v>
      </c>
      <c r="B147" s="1" t="s">
        <v>2250</v>
      </c>
      <c r="C147" s="1" t="s">
        <v>2251</v>
      </c>
      <c r="D147" s="1" t="s">
        <v>2252</v>
      </c>
      <c r="E147" s="1" t="s">
        <v>2253</v>
      </c>
      <c r="F147" s="1" t="b">
        <v>1</v>
      </c>
      <c r="G147" s="1">
        <v>92119886734</v>
      </c>
    </row>
    <row r="148" spans="1:7" x14ac:dyDescent="0.25">
      <c r="A148" s="1">
        <v>147</v>
      </c>
      <c r="B148" s="1" t="s">
        <v>2254</v>
      </c>
      <c r="C148" s="1" t="s">
        <v>2255</v>
      </c>
      <c r="D148" s="1" t="s">
        <v>2256</v>
      </c>
      <c r="E148" s="1" t="s">
        <v>2257</v>
      </c>
      <c r="F148" s="1" t="b">
        <v>1</v>
      </c>
      <c r="G148" s="1">
        <v>11757908807</v>
      </c>
    </row>
    <row r="149" spans="1:7" x14ac:dyDescent="0.25">
      <c r="A149" s="1">
        <v>148</v>
      </c>
      <c r="B149" s="1" t="s">
        <v>2258</v>
      </c>
      <c r="C149" s="1" t="s">
        <v>2259</v>
      </c>
      <c r="D149" s="1" t="s">
        <v>2260</v>
      </c>
      <c r="E149" s="1" t="s">
        <v>2261</v>
      </c>
      <c r="F149" s="1" t="b">
        <v>1</v>
      </c>
      <c r="G149" s="1">
        <v>14147834133</v>
      </c>
    </row>
    <row r="150" spans="1:7" x14ac:dyDescent="0.25">
      <c r="A150" s="1">
        <v>149</v>
      </c>
      <c r="B150" s="1" t="s">
        <v>2262</v>
      </c>
      <c r="C150" s="1" t="s">
        <v>2263</v>
      </c>
      <c r="D150" s="1" t="s">
        <v>2264</v>
      </c>
      <c r="E150" s="1" t="s">
        <v>2265</v>
      </c>
      <c r="F150" s="1" t="b">
        <v>1</v>
      </c>
      <c r="G150" s="1">
        <v>86766075300</v>
      </c>
    </row>
    <row r="151" spans="1:7" x14ac:dyDescent="0.25">
      <c r="A151" s="1">
        <v>150</v>
      </c>
      <c r="B151" s="1" t="s">
        <v>2266</v>
      </c>
      <c r="C151" s="1" t="s">
        <v>2263</v>
      </c>
      <c r="D151" s="1" t="s">
        <v>2057</v>
      </c>
      <c r="E151" s="1" t="s">
        <v>2267</v>
      </c>
      <c r="F151" s="1" t="b">
        <v>1</v>
      </c>
      <c r="G151" s="1">
        <v>76169837316</v>
      </c>
    </row>
    <row r="152" spans="1:7" x14ac:dyDescent="0.25">
      <c r="A152" s="1">
        <v>151</v>
      </c>
      <c r="B152" s="1" t="s">
        <v>2268</v>
      </c>
      <c r="C152" s="1" t="s">
        <v>2268</v>
      </c>
      <c r="D152" s="1"/>
      <c r="E152" s="1" t="s">
        <v>2269</v>
      </c>
      <c r="F152" s="1" t="b">
        <v>1</v>
      </c>
      <c r="G152" s="1">
        <v>98082765697</v>
      </c>
    </row>
    <row r="153" spans="1:7" x14ac:dyDescent="0.25">
      <c r="A153" s="1">
        <v>152</v>
      </c>
      <c r="B153" s="1" t="s">
        <v>2118</v>
      </c>
      <c r="C153" s="1" t="s">
        <v>2118</v>
      </c>
      <c r="D153" s="1"/>
      <c r="E153" s="1" t="s">
        <v>2270</v>
      </c>
      <c r="F153" s="1" t="b">
        <v>1</v>
      </c>
      <c r="G153" s="1">
        <v>98050056105</v>
      </c>
    </row>
    <row r="154" spans="1:7" x14ac:dyDescent="0.25">
      <c r="A154" s="1">
        <v>153</v>
      </c>
      <c r="B154" s="1" t="s">
        <v>2271</v>
      </c>
      <c r="C154" s="1" t="s">
        <v>2271</v>
      </c>
      <c r="D154" s="1"/>
      <c r="E154" s="1" t="s">
        <v>2272</v>
      </c>
      <c r="F154" s="1" t="b">
        <v>1</v>
      </c>
      <c r="G154" s="1">
        <v>97063538205</v>
      </c>
    </row>
    <row r="155" spans="1:7" x14ac:dyDescent="0.25">
      <c r="A155" s="1">
        <v>154</v>
      </c>
      <c r="B155" s="1" t="s">
        <v>2144</v>
      </c>
      <c r="C155" s="1" t="s">
        <v>2144</v>
      </c>
      <c r="D155" s="1"/>
      <c r="E155" s="1" t="s">
        <v>2273</v>
      </c>
      <c r="F155" s="1" t="b">
        <v>1</v>
      </c>
      <c r="G155" s="1">
        <v>91134733808</v>
      </c>
    </row>
    <row r="156" spans="1:7" x14ac:dyDescent="0.25">
      <c r="A156" s="1">
        <v>155</v>
      </c>
      <c r="B156" s="1" t="s">
        <v>2274</v>
      </c>
      <c r="C156" s="1" t="s">
        <v>2274</v>
      </c>
      <c r="D156" s="1"/>
      <c r="E156" s="1" t="s">
        <v>2275</v>
      </c>
      <c r="F156" s="1" t="b">
        <v>1</v>
      </c>
      <c r="G156" s="1">
        <v>86629168985</v>
      </c>
    </row>
    <row r="157" spans="1:7" x14ac:dyDescent="0.25">
      <c r="A157" s="1">
        <v>156</v>
      </c>
      <c r="B157" s="1" t="s">
        <v>2276</v>
      </c>
      <c r="C157" s="1" t="s">
        <v>2277</v>
      </c>
      <c r="D157" s="1" t="s">
        <v>2278</v>
      </c>
      <c r="E157" s="1" t="s">
        <v>2279</v>
      </c>
      <c r="F157" s="1" t="b">
        <v>1</v>
      </c>
      <c r="G157" s="1">
        <v>84654629642</v>
      </c>
    </row>
    <row r="158" spans="1:7" x14ac:dyDescent="0.25">
      <c r="A158" s="1">
        <v>157</v>
      </c>
      <c r="B158" s="1" t="s">
        <v>2280</v>
      </c>
      <c r="C158" s="1" t="s">
        <v>2280</v>
      </c>
      <c r="D158" s="1"/>
      <c r="E158" s="1" t="s">
        <v>2281</v>
      </c>
      <c r="F158" s="1" t="b">
        <v>1</v>
      </c>
      <c r="G158" s="1">
        <v>79610774199</v>
      </c>
    </row>
    <row r="159" spans="1:7" x14ac:dyDescent="0.25">
      <c r="A159" s="1">
        <v>158</v>
      </c>
      <c r="B159" s="1" t="s">
        <v>2282</v>
      </c>
      <c r="C159" s="1" t="s">
        <v>2282</v>
      </c>
      <c r="D159" s="1"/>
      <c r="E159" s="1" t="s">
        <v>2283</v>
      </c>
      <c r="F159" s="1" t="b">
        <v>1</v>
      </c>
      <c r="G159" s="1">
        <v>77617764011</v>
      </c>
    </row>
    <row r="160" spans="1:7" x14ac:dyDescent="0.25">
      <c r="A160" s="1">
        <v>159</v>
      </c>
      <c r="B160" s="1" t="s">
        <v>2284</v>
      </c>
      <c r="C160" s="1" t="s">
        <v>2285</v>
      </c>
      <c r="D160" s="1" t="s">
        <v>2286</v>
      </c>
      <c r="E160" s="1" t="s">
        <v>2287</v>
      </c>
      <c r="F160" s="1" t="b">
        <v>1</v>
      </c>
      <c r="G160" s="1">
        <v>75097072565</v>
      </c>
    </row>
    <row r="161" spans="1:7" x14ac:dyDescent="0.25">
      <c r="A161" s="1">
        <v>160</v>
      </c>
      <c r="B161" s="1" t="s">
        <v>2045</v>
      </c>
      <c r="C161" s="1" t="s">
        <v>2045</v>
      </c>
      <c r="D161" s="1"/>
      <c r="E161" s="1" t="s">
        <v>2288</v>
      </c>
      <c r="F161" s="1" t="b">
        <v>1</v>
      </c>
      <c r="G161" s="1">
        <v>74073575201</v>
      </c>
    </row>
    <row r="162" spans="1:7" x14ac:dyDescent="0.25">
      <c r="A162" s="1">
        <v>161</v>
      </c>
      <c r="B162" s="1" t="s">
        <v>1628</v>
      </c>
      <c r="C162" s="1" t="s">
        <v>1628</v>
      </c>
      <c r="D162" s="1"/>
      <c r="E162" s="1" t="s">
        <v>2289</v>
      </c>
      <c r="F162" s="1" t="b">
        <v>1</v>
      </c>
      <c r="G162" s="1">
        <v>74002940301</v>
      </c>
    </row>
    <row r="163" spans="1:7" x14ac:dyDescent="0.25">
      <c r="A163" s="1">
        <v>162</v>
      </c>
      <c r="B163" s="1" t="s">
        <v>2290</v>
      </c>
      <c r="C163" s="1" t="s">
        <v>2291</v>
      </c>
      <c r="D163" s="1" t="s">
        <v>2102</v>
      </c>
      <c r="E163" s="1" t="s">
        <v>2292</v>
      </c>
      <c r="F163" s="1" t="b">
        <v>1</v>
      </c>
      <c r="G163" s="1">
        <v>73634522946</v>
      </c>
    </row>
    <row r="164" spans="1:7" x14ac:dyDescent="0.25">
      <c r="A164" s="1">
        <v>163</v>
      </c>
      <c r="B164" s="1" t="s">
        <v>2293</v>
      </c>
      <c r="C164" s="1" t="s">
        <v>2294</v>
      </c>
      <c r="D164" s="1" t="s">
        <v>2295</v>
      </c>
      <c r="E164" s="1" t="s">
        <v>2296</v>
      </c>
      <c r="F164" s="1" t="b">
        <v>1</v>
      </c>
      <c r="G164" s="1">
        <v>71083902309</v>
      </c>
    </row>
    <row r="165" spans="1:7" x14ac:dyDescent="0.25">
      <c r="A165" s="1">
        <v>164</v>
      </c>
      <c r="B165" s="1" t="s">
        <v>2297</v>
      </c>
      <c r="C165" s="1" t="s">
        <v>2298</v>
      </c>
      <c r="D165" s="1" t="s">
        <v>2299</v>
      </c>
      <c r="E165" s="1" t="s">
        <v>2300</v>
      </c>
      <c r="F165" s="1" t="b">
        <v>1</v>
      </c>
      <c r="G165" s="1">
        <v>70082016608</v>
      </c>
    </row>
    <row r="166" spans="1:7" x14ac:dyDescent="0.25">
      <c r="A166" s="1">
        <v>165</v>
      </c>
      <c r="B166" s="1" t="s">
        <v>2301</v>
      </c>
      <c r="C166" s="1" t="s">
        <v>2302</v>
      </c>
      <c r="D166" s="1" t="s">
        <v>2303</v>
      </c>
      <c r="E166" s="1" t="s">
        <v>2304</v>
      </c>
      <c r="F166" s="1" t="b">
        <v>1</v>
      </c>
      <c r="G166" s="1">
        <v>61126104489</v>
      </c>
    </row>
    <row r="167" spans="1:7" x14ac:dyDescent="0.25">
      <c r="A167" s="1">
        <v>166</v>
      </c>
      <c r="B167" s="1" t="s">
        <v>2305</v>
      </c>
      <c r="C167" s="1" t="s">
        <v>2305</v>
      </c>
      <c r="D167" s="1"/>
      <c r="E167" s="1" t="s">
        <v>2306</v>
      </c>
      <c r="F167" s="1" t="b">
        <v>1</v>
      </c>
      <c r="G167" s="1">
        <v>59607689289</v>
      </c>
    </row>
    <row r="168" spans="1:7" x14ac:dyDescent="0.25">
      <c r="A168" s="1">
        <v>167</v>
      </c>
      <c r="B168" s="1" t="s">
        <v>2307</v>
      </c>
      <c r="C168" s="1" t="s">
        <v>2307</v>
      </c>
      <c r="D168" s="1"/>
      <c r="E168" s="1" t="s">
        <v>2308</v>
      </c>
      <c r="F168" s="1" t="b">
        <v>1</v>
      </c>
      <c r="G168" s="1">
        <v>59147526583</v>
      </c>
    </row>
    <row r="169" spans="1:7" x14ac:dyDescent="0.25">
      <c r="A169" s="1">
        <v>168</v>
      </c>
      <c r="B169" s="1" t="s">
        <v>1557</v>
      </c>
      <c r="C169" s="1" t="s">
        <v>1557</v>
      </c>
      <c r="D169" s="1"/>
      <c r="E169" s="1" t="s">
        <v>2309</v>
      </c>
      <c r="F169" s="1" t="b">
        <v>1</v>
      </c>
      <c r="G169" s="1">
        <v>58159730174</v>
      </c>
    </row>
    <row r="170" spans="1:7" x14ac:dyDescent="0.25">
      <c r="A170" s="1">
        <v>169</v>
      </c>
      <c r="B170" s="1" t="s">
        <v>2310</v>
      </c>
      <c r="C170" s="1" t="s">
        <v>2310</v>
      </c>
      <c r="D170" s="1"/>
      <c r="E170" s="1" t="s">
        <v>2311</v>
      </c>
      <c r="F170" s="1" t="b">
        <v>1</v>
      </c>
      <c r="G170" s="1">
        <v>58050275020</v>
      </c>
    </row>
    <row r="171" spans="1:7" x14ac:dyDescent="0.25">
      <c r="A171" s="1">
        <v>170</v>
      </c>
      <c r="B171" s="1" t="s">
        <v>2312</v>
      </c>
      <c r="C171" s="1" t="s">
        <v>2313</v>
      </c>
      <c r="D171" s="1" t="s">
        <v>2314</v>
      </c>
      <c r="E171" s="1" t="s">
        <v>2315</v>
      </c>
      <c r="F171" s="1" t="b">
        <v>1</v>
      </c>
      <c r="G171" s="1">
        <v>57241050567</v>
      </c>
    </row>
    <row r="172" spans="1:7" x14ac:dyDescent="0.25">
      <c r="A172" s="1">
        <v>171</v>
      </c>
      <c r="B172" s="1" t="s">
        <v>1650</v>
      </c>
      <c r="C172" s="1" t="s">
        <v>1650</v>
      </c>
      <c r="D172" s="1"/>
      <c r="E172" s="1" t="s">
        <v>1896</v>
      </c>
      <c r="F172" s="1" t="b">
        <v>1</v>
      </c>
      <c r="G172" s="1">
        <v>57109822246</v>
      </c>
    </row>
    <row r="173" spans="1:7" x14ac:dyDescent="0.25">
      <c r="A173" s="1">
        <v>172</v>
      </c>
      <c r="B173" s="1" t="s">
        <v>2316</v>
      </c>
      <c r="C173" s="1" t="s">
        <v>1737</v>
      </c>
      <c r="D173" s="1" t="s">
        <v>2317</v>
      </c>
      <c r="E173" s="1" t="s">
        <v>2318</v>
      </c>
      <c r="F173" s="1" t="b">
        <v>1</v>
      </c>
      <c r="G173" s="1">
        <v>53000102376</v>
      </c>
    </row>
    <row r="174" spans="1:7" x14ac:dyDescent="0.25">
      <c r="A174" s="1">
        <v>173</v>
      </c>
      <c r="B174" s="1" t="s">
        <v>2319</v>
      </c>
      <c r="C174" s="1" t="s">
        <v>2320</v>
      </c>
      <c r="D174" s="1" t="s">
        <v>2321</v>
      </c>
      <c r="E174" s="1" t="s">
        <v>2322</v>
      </c>
      <c r="F174" s="1" t="b">
        <v>1</v>
      </c>
      <c r="G174" s="1">
        <v>47602908092</v>
      </c>
    </row>
    <row r="175" spans="1:7" x14ac:dyDescent="0.25">
      <c r="A175" s="1">
        <v>174</v>
      </c>
      <c r="B175" s="1" t="s">
        <v>2323</v>
      </c>
      <c r="C175" s="1" t="s">
        <v>2323</v>
      </c>
      <c r="D175" s="1"/>
      <c r="E175" s="1" t="s">
        <v>2324</v>
      </c>
      <c r="F175" s="1" t="b">
        <v>1</v>
      </c>
      <c r="G175" s="1">
        <v>45079929687</v>
      </c>
    </row>
    <row r="176" spans="1:7" x14ac:dyDescent="0.25">
      <c r="A176" s="1">
        <v>175</v>
      </c>
      <c r="B176" s="1" t="s">
        <v>2325</v>
      </c>
      <c r="C176" s="1" t="s">
        <v>2326</v>
      </c>
      <c r="D176" s="1" t="s">
        <v>2327</v>
      </c>
      <c r="E176" s="1" t="s">
        <v>2328</v>
      </c>
      <c r="F176" s="1" t="b">
        <v>1</v>
      </c>
      <c r="G176" s="1">
        <v>44630948739</v>
      </c>
    </row>
    <row r="177" spans="1:7" x14ac:dyDescent="0.25">
      <c r="A177" s="1">
        <v>176</v>
      </c>
      <c r="B177" s="1" t="s">
        <v>2329</v>
      </c>
      <c r="C177" s="1" t="s">
        <v>1847</v>
      </c>
      <c r="D177" s="1" t="s">
        <v>2330</v>
      </c>
      <c r="E177" s="1" t="s">
        <v>2331</v>
      </c>
      <c r="F177" s="1" t="b">
        <v>1</v>
      </c>
      <c r="G177" s="1">
        <v>44147169748</v>
      </c>
    </row>
    <row r="178" spans="1:7" x14ac:dyDescent="0.25">
      <c r="A178" s="1">
        <v>177</v>
      </c>
      <c r="B178" s="1" t="s">
        <v>1968</v>
      </c>
      <c r="C178" s="1" t="s">
        <v>1968</v>
      </c>
      <c r="D178" s="1"/>
      <c r="E178" s="1" t="s">
        <v>2332</v>
      </c>
      <c r="F178" s="1" t="b">
        <v>1</v>
      </c>
      <c r="G178" s="1">
        <v>44113903772</v>
      </c>
    </row>
    <row r="179" spans="1:7" x14ac:dyDescent="0.25">
      <c r="A179" s="1">
        <v>178</v>
      </c>
      <c r="B179" s="1" t="s">
        <v>2333</v>
      </c>
      <c r="C179" s="1" t="s">
        <v>2334</v>
      </c>
      <c r="D179" s="1" t="s">
        <v>2335</v>
      </c>
      <c r="E179" s="1" t="s">
        <v>2336</v>
      </c>
      <c r="F179" s="1" t="b">
        <v>1</v>
      </c>
      <c r="G179" s="1">
        <v>42615203800</v>
      </c>
    </row>
    <row r="180" spans="1:7" x14ac:dyDescent="0.25">
      <c r="A180" s="1">
        <v>179</v>
      </c>
      <c r="B180" s="1" t="s">
        <v>2337</v>
      </c>
      <c r="C180" s="1" t="s">
        <v>2337</v>
      </c>
      <c r="D180" s="1"/>
      <c r="E180" s="1" t="s">
        <v>2338</v>
      </c>
      <c r="F180" s="1" t="b">
        <v>1</v>
      </c>
      <c r="G180" s="1">
        <v>40150650150</v>
      </c>
    </row>
    <row r="181" spans="1:7" x14ac:dyDescent="0.25">
      <c r="A181" s="1">
        <v>180</v>
      </c>
      <c r="B181" s="1" t="s">
        <v>2339</v>
      </c>
      <c r="C181" s="1" t="s">
        <v>1847</v>
      </c>
      <c r="D181" s="1" t="s">
        <v>1848</v>
      </c>
      <c r="E181" s="1" t="s">
        <v>1849</v>
      </c>
      <c r="F181" s="1" t="b">
        <v>1</v>
      </c>
      <c r="G181" s="1">
        <v>38628981617</v>
      </c>
    </row>
    <row r="182" spans="1:7" x14ac:dyDescent="0.25">
      <c r="A182" s="1">
        <v>181</v>
      </c>
      <c r="B182" s="1" t="s">
        <v>1779</v>
      </c>
      <c r="C182" s="1" t="s">
        <v>1779</v>
      </c>
      <c r="D182" s="1"/>
      <c r="E182" s="1" t="s">
        <v>2340</v>
      </c>
      <c r="F182" s="1" t="b">
        <v>1</v>
      </c>
      <c r="G182" s="1">
        <v>37629333946</v>
      </c>
    </row>
    <row r="183" spans="1:7" x14ac:dyDescent="0.25">
      <c r="A183" s="1">
        <v>182</v>
      </c>
      <c r="B183" s="1" t="s">
        <v>2341</v>
      </c>
      <c r="C183" s="1" t="s">
        <v>2342</v>
      </c>
      <c r="D183" s="1" t="s">
        <v>2295</v>
      </c>
      <c r="E183" s="1" t="s">
        <v>2343</v>
      </c>
      <c r="F183" s="1" t="b">
        <v>1</v>
      </c>
      <c r="G183" s="1">
        <v>35009674195</v>
      </c>
    </row>
    <row r="184" spans="1:7" x14ac:dyDescent="0.25">
      <c r="A184" s="1">
        <v>183</v>
      </c>
      <c r="B184" s="1" t="s">
        <v>2344</v>
      </c>
      <c r="C184" s="1" t="s">
        <v>2345</v>
      </c>
      <c r="D184" s="1" t="s">
        <v>2346</v>
      </c>
      <c r="E184" s="1" t="s">
        <v>2347</v>
      </c>
      <c r="F184" s="1" t="b">
        <v>1</v>
      </c>
      <c r="G184" s="1">
        <v>34626019396</v>
      </c>
    </row>
    <row r="185" spans="1:7" x14ac:dyDescent="0.25">
      <c r="A185" s="1">
        <v>184</v>
      </c>
      <c r="B185" s="1" t="s">
        <v>2348</v>
      </c>
      <c r="C185" s="1" t="s">
        <v>2349</v>
      </c>
      <c r="D185" s="1" t="s">
        <v>2350</v>
      </c>
      <c r="E185" s="1" t="s">
        <v>2351</v>
      </c>
      <c r="F185" s="1" t="b">
        <v>1</v>
      </c>
      <c r="G185" s="1">
        <v>33624597048</v>
      </c>
    </row>
    <row r="186" spans="1:7" x14ac:dyDescent="0.25">
      <c r="A186" s="1">
        <v>185</v>
      </c>
      <c r="B186" s="1" t="s">
        <v>2352</v>
      </c>
      <c r="C186" s="1" t="s">
        <v>2352</v>
      </c>
      <c r="D186" s="1"/>
      <c r="E186" s="1" t="s">
        <v>2353</v>
      </c>
      <c r="F186" s="1" t="b">
        <v>1</v>
      </c>
      <c r="G186" s="1">
        <v>31475957719</v>
      </c>
    </row>
    <row r="187" spans="1:7" x14ac:dyDescent="0.25">
      <c r="A187" s="1">
        <v>186</v>
      </c>
      <c r="B187" s="1" t="s">
        <v>2354</v>
      </c>
      <c r="C187" s="1" t="s">
        <v>1966</v>
      </c>
      <c r="D187" s="1" t="s">
        <v>2355</v>
      </c>
      <c r="E187" s="1" t="s">
        <v>2356</v>
      </c>
      <c r="F187" s="1" t="b">
        <v>1</v>
      </c>
      <c r="G187" s="1">
        <v>31114014667</v>
      </c>
    </row>
    <row r="188" spans="1:7" x14ac:dyDescent="0.25">
      <c r="A188" s="1">
        <v>187</v>
      </c>
      <c r="B188" s="1" t="s">
        <v>2357</v>
      </c>
      <c r="C188" s="1" t="s">
        <v>2357</v>
      </c>
      <c r="D188" s="1"/>
      <c r="E188" s="1" t="s">
        <v>2358</v>
      </c>
      <c r="F188" s="1" t="b">
        <v>1</v>
      </c>
      <c r="G188" s="1">
        <v>26639030774</v>
      </c>
    </row>
    <row r="189" spans="1:7" x14ac:dyDescent="0.25">
      <c r="A189" s="1">
        <v>188</v>
      </c>
      <c r="B189" s="1" t="s">
        <v>1583</v>
      </c>
      <c r="C189" s="1" t="s">
        <v>2045</v>
      </c>
      <c r="D189" s="1"/>
      <c r="E189" s="1" t="s">
        <v>2288</v>
      </c>
      <c r="F189" s="1" t="b">
        <v>1</v>
      </c>
      <c r="G189" s="1">
        <v>24611730002</v>
      </c>
    </row>
    <row r="190" spans="1:7" x14ac:dyDescent="0.25">
      <c r="A190" s="1">
        <v>189</v>
      </c>
      <c r="B190" s="1" t="s">
        <v>2359</v>
      </c>
      <c r="C190" s="1" t="s">
        <v>2359</v>
      </c>
      <c r="D190" s="1"/>
      <c r="E190" s="1" t="s">
        <v>2360</v>
      </c>
      <c r="F190" s="1" t="b">
        <v>1</v>
      </c>
      <c r="G190" s="1">
        <v>16131093466</v>
      </c>
    </row>
    <row r="191" spans="1:7" x14ac:dyDescent="0.25">
      <c r="A191" s="1">
        <v>190</v>
      </c>
      <c r="B191" s="1" t="s">
        <v>2361</v>
      </c>
      <c r="C191" s="1" t="s">
        <v>2361</v>
      </c>
      <c r="D191" s="1"/>
      <c r="E191" s="1" t="s">
        <v>2362</v>
      </c>
      <c r="F191" s="1" t="b">
        <v>1</v>
      </c>
      <c r="G191" s="1">
        <v>15641290376</v>
      </c>
    </row>
    <row r="192" spans="1:7" x14ac:dyDescent="0.25">
      <c r="A192" s="1">
        <v>191</v>
      </c>
      <c r="B192" s="1" t="s">
        <v>2363</v>
      </c>
      <c r="C192" s="1" t="s">
        <v>2364</v>
      </c>
      <c r="D192" s="1" t="s">
        <v>2365</v>
      </c>
      <c r="E192" s="1" t="s">
        <v>2366</v>
      </c>
      <c r="F192" s="1" t="b">
        <v>1</v>
      </c>
      <c r="G192" s="1">
        <v>11158707629</v>
      </c>
    </row>
    <row r="193" spans="1:7" x14ac:dyDescent="0.25">
      <c r="A193" s="1">
        <v>192</v>
      </c>
      <c r="B193" s="1" t="s">
        <v>2367</v>
      </c>
      <c r="C193" s="1" t="s">
        <v>2367</v>
      </c>
      <c r="D193" s="1"/>
      <c r="E193" s="1" t="s">
        <v>2368</v>
      </c>
      <c r="F193" s="1" t="b">
        <v>1</v>
      </c>
      <c r="G193" s="1">
        <v>99621855025</v>
      </c>
    </row>
    <row r="194" spans="1:7" x14ac:dyDescent="0.25">
      <c r="A194" s="1">
        <v>193</v>
      </c>
      <c r="B194" s="1" t="s">
        <v>2369</v>
      </c>
      <c r="C194" s="1" t="s">
        <v>2370</v>
      </c>
      <c r="D194" s="1" t="s">
        <v>2371</v>
      </c>
      <c r="E194" s="1" t="s">
        <v>2372</v>
      </c>
      <c r="F194" s="1" t="b">
        <v>1</v>
      </c>
      <c r="G194" s="1">
        <v>82099070872</v>
      </c>
    </row>
    <row r="195" spans="1:7" x14ac:dyDescent="0.25">
      <c r="A195" s="1">
        <v>194</v>
      </c>
      <c r="B195" s="1" t="s">
        <v>2373</v>
      </c>
      <c r="C195" s="1" t="s">
        <v>1748</v>
      </c>
      <c r="D195" s="1" t="s">
        <v>2374</v>
      </c>
      <c r="E195" s="1" t="s">
        <v>2375</v>
      </c>
      <c r="F195" s="1" t="b">
        <v>1</v>
      </c>
      <c r="G195" s="1">
        <v>67136336831</v>
      </c>
    </row>
    <row r="196" spans="1:7" x14ac:dyDescent="0.25">
      <c r="A196" s="1">
        <v>195</v>
      </c>
      <c r="B196" s="1" t="s">
        <v>2376</v>
      </c>
      <c r="C196" s="1" t="s">
        <v>2377</v>
      </c>
      <c r="D196" s="1" t="s">
        <v>2378</v>
      </c>
      <c r="E196" s="1" t="s">
        <v>2379</v>
      </c>
      <c r="F196" s="1" t="b">
        <v>1</v>
      </c>
      <c r="G196" s="1">
        <v>54090536575</v>
      </c>
    </row>
    <row r="197" spans="1:7" x14ac:dyDescent="0.25">
      <c r="A197" s="1">
        <v>196</v>
      </c>
      <c r="B197" s="1" t="s">
        <v>1909</v>
      </c>
      <c r="C197" s="1" t="s">
        <v>1909</v>
      </c>
      <c r="D197" s="1"/>
      <c r="E197" s="1" t="s">
        <v>2380</v>
      </c>
      <c r="F197" s="1" t="b">
        <v>1</v>
      </c>
      <c r="G197" s="1">
        <v>33612534442</v>
      </c>
    </row>
    <row r="198" spans="1:7" x14ac:dyDescent="0.25">
      <c r="A198" s="1">
        <v>197</v>
      </c>
      <c r="B198" s="1" t="s">
        <v>2381</v>
      </c>
      <c r="C198" s="1" t="s">
        <v>2381</v>
      </c>
      <c r="D198" s="1"/>
      <c r="E198" s="1" t="s">
        <v>2382</v>
      </c>
      <c r="F198" s="1" t="b">
        <v>1</v>
      </c>
      <c r="G198" s="1">
        <v>30619873504</v>
      </c>
    </row>
    <row r="199" spans="1:7" x14ac:dyDescent="0.25">
      <c r="A199" s="1">
        <v>198</v>
      </c>
      <c r="B199" s="1" t="s">
        <v>2383</v>
      </c>
      <c r="C199" s="1" t="s">
        <v>2384</v>
      </c>
      <c r="D199" s="1" t="s">
        <v>2385</v>
      </c>
      <c r="E199" s="1" t="s">
        <v>2386</v>
      </c>
      <c r="F199" s="1" t="b">
        <v>1</v>
      </c>
      <c r="G199" s="1">
        <v>29115372613</v>
      </c>
    </row>
    <row r="200" spans="1:7" x14ac:dyDescent="0.25">
      <c r="A200" s="1">
        <v>199</v>
      </c>
      <c r="B200" s="1" t="s">
        <v>2387</v>
      </c>
      <c r="C200" s="1" t="s">
        <v>2387</v>
      </c>
      <c r="D200" s="1"/>
      <c r="E200" s="1" t="s">
        <v>2388</v>
      </c>
      <c r="F200" s="1" t="b">
        <v>1</v>
      </c>
      <c r="G200" s="1">
        <v>15619105092</v>
      </c>
    </row>
    <row r="201" spans="1:7" x14ac:dyDescent="0.25">
      <c r="A201" s="1">
        <v>200</v>
      </c>
      <c r="B201" s="1" t="s">
        <v>2389</v>
      </c>
      <c r="C201" s="1" t="s">
        <v>2263</v>
      </c>
      <c r="D201" s="1" t="s">
        <v>2390</v>
      </c>
      <c r="E201" s="1" t="s">
        <v>2391</v>
      </c>
      <c r="F201" s="1" t="b">
        <v>1</v>
      </c>
      <c r="G201" s="1">
        <v>97612535145</v>
      </c>
    </row>
    <row r="202" spans="1:7" x14ac:dyDescent="0.25">
      <c r="A202" s="1">
        <v>201</v>
      </c>
      <c r="B202" s="1" t="s">
        <v>2392</v>
      </c>
      <c r="C202" s="1" t="s">
        <v>2393</v>
      </c>
      <c r="D202" s="1" t="s">
        <v>2394</v>
      </c>
      <c r="E202" s="1" t="s">
        <v>2395</v>
      </c>
      <c r="F202" s="1" t="b">
        <v>1</v>
      </c>
      <c r="G202" s="1">
        <v>92161261874</v>
      </c>
    </row>
    <row r="203" spans="1:7" x14ac:dyDescent="0.25">
      <c r="A203" s="1">
        <v>202</v>
      </c>
      <c r="B203" s="1" t="s">
        <v>1856</v>
      </c>
      <c r="C203" s="1" t="s">
        <v>1857</v>
      </c>
      <c r="D203" s="1" t="s">
        <v>1858</v>
      </c>
      <c r="E203" s="1" t="s">
        <v>2396</v>
      </c>
      <c r="F203" s="1" t="b">
        <v>1</v>
      </c>
      <c r="G203" s="1">
        <v>82168493105</v>
      </c>
    </row>
    <row r="204" spans="1:7" x14ac:dyDescent="0.25">
      <c r="A204" s="1">
        <v>203</v>
      </c>
      <c r="B204" s="1" t="s">
        <v>2397</v>
      </c>
      <c r="C204" s="1" t="s">
        <v>1966</v>
      </c>
      <c r="D204" s="1" t="s">
        <v>2398</v>
      </c>
      <c r="E204" s="1" t="s">
        <v>2399</v>
      </c>
      <c r="F204" s="1" t="b">
        <v>1</v>
      </c>
      <c r="G204" s="1">
        <v>74935704619</v>
      </c>
    </row>
    <row r="205" spans="1:7" x14ac:dyDescent="0.25">
      <c r="A205" s="1">
        <v>204</v>
      </c>
      <c r="B205" s="1" t="s">
        <v>2400</v>
      </c>
      <c r="C205" s="1" t="s">
        <v>1929</v>
      </c>
      <c r="D205" s="1" t="s">
        <v>2401</v>
      </c>
      <c r="E205" s="1" t="s">
        <v>2402</v>
      </c>
      <c r="F205" s="1" t="b">
        <v>1</v>
      </c>
      <c r="G205" s="1">
        <v>74629274540</v>
      </c>
    </row>
    <row r="206" spans="1:7" x14ac:dyDescent="0.25">
      <c r="A206" s="1">
        <v>205</v>
      </c>
      <c r="B206" s="1" t="s">
        <v>2403</v>
      </c>
      <c r="C206" s="1" t="s">
        <v>2244</v>
      </c>
      <c r="D206" s="1" t="s">
        <v>2404</v>
      </c>
      <c r="E206" s="1" t="s">
        <v>2405</v>
      </c>
      <c r="F206" s="1" t="b">
        <v>1</v>
      </c>
      <c r="G206" s="1">
        <v>66104162352</v>
      </c>
    </row>
    <row r="207" spans="1:7" x14ac:dyDescent="0.25">
      <c r="A207" s="1">
        <v>206</v>
      </c>
      <c r="B207" s="1" t="s">
        <v>2406</v>
      </c>
      <c r="C207" s="1" t="s">
        <v>2407</v>
      </c>
      <c r="D207" s="1" t="s">
        <v>2408</v>
      </c>
      <c r="E207" s="1" t="s">
        <v>2409</v>
      </c>
      <c r="F207" s="1" t="b">
        <v>1</v>
      </c>
      <c r="G207" s="1">
        <v>59618362584</v>
      </c>
    </row>
    <row r="208" spans="1:7" x14ac:dyDescent="0.25">
      <c r="A208" s="1">
        <v>207</v>
      </c>
      <c r="B208" s="1" t="s">
        <v>2410</v>
      </c>
      <c r="C208" s="1" t="s">
        <v>2411</v>
      </c>
      <c r="D208" s="1" t="s">
        <v>2412</v>
      </c>
      <c r="E208" s="1" t="s">
        <v>2413</v>
      </c>
      <c r="F208" s="1" t="b">
        <v>1</v>
      </c>
      <c r="G208" s="1">
        <v>46009671809</v>
      </c>
    </row>
    <row r="209" spans="1:7" x14ac:dyDescent="0.25">
      <c r="A209" s="1">
        <v>208</v>
      </c>
      <c r="B209" s="1" t="s">
        <v>2414</v>
      </c>
      <c r="C209" s="1" t="s">
        <v>2053</v>
      </c>
      <c r="D209" s="1" t="s">
        <v>2415</v>
      </c>
      <c r="E209" s="1" t="s">
        <v>2416</v>
      </c>
      <c r="F209" s="1" t="b">
        <v>1</v>
      </c>
      <c r="G209" s="1">
        <v>16103223721</v>
      </c>
    </row>
    <row r="210" spans="1:7" x14ac:dyDescent="0.25">
      <c r="A210" s="1">
        <v>209</v>
      </c>
      <c r="B210" s="1" t="s">
        <v>2417</v>
      </c>
      <c r="C210" s="1" t="s">
        <v>2114</v>
      </c>
      <c r="D210" s="1" t="s">
        <v>2418</v>
      </c>
      <c r="E210" s="1" t="s">
        <v>2419</v>
      </c>
      <c r="F210" s="1" t="b">
        <v>1</v>
      </c>
      <c r="G210" s="1">
        <v>15082559920</v>
      </c>
    </row>
    <row r="211" spans="1:7" x14ac:dyDescent="0.25">
      <c r="A211" s="1">
        <v>210</v>
      </c>
      <c r="B211" s="1" t="s">
        <v>2420</v>
      </c>
      <c r="C211" s="1" t="s">
        <v>2045</v>
      </c>
      <c r="D211" s="1" t="s">
        <v>2421</v>
      </c>
      <c r="E211" s="1" t="s">
        <v>2422</v>
      </c>
      <c r="F211" s="1" t="b">
        <v>1</v>
      </c>
      <c r="G211" s="1">
        <v>97133373154</v>
      </c>
    </row>
    <row r="212" spans="1:7" x14ac:dyDescent="0.25">
      <c r="A212" s="1">
        <v>211</v>
      </c>
      <c r="B212" s="1" t="s">
        <v>2423</v>
      </c>
      <c r="C212" s="1" t="s">
        <v>2423</v>
      </c>
      <c r="D212" s="1"/>
      <c r="E212" s="1" t="s">
        <v>2424</v>
      </c>
      <c r="F212" s="1" t="b">
        <v>1</v>
      </c>
      <c r="G212" s="1">
        <v>96145874344</v>
      </c>
    </row>
    <row r="213" spans="1:7" x14ac:dyDescent="0.25">
      <c r="A213" s="1">
        <v>212</v>
      </c>
      <c r="B213" s="1" t="s">
        <v>2425</v>
      </c>
      <c r="C213" s="1" t="s">
        <v>2426</v>
      </c>
      <c r="D213" s="1" t="s">
        <v>2427</v>
      </c>
      <c r="E213" s="1" t="s">
        <v>2428</v>
      </c>
      <c r="F213" s="1" t="b">
        <v>1</v>
      </c>
      <c r="G213" s="1">
        <v>84161973413</v>
      </c>
    </row>
    <row r="214" spans="1:7" x14ac:dyDescent="0.25">
      <c r="A214" s="1">
        <v>213</v>
      </c>
      <c r="B214" s="1" t="s">
        <v>2429</v>
      </c>
      <c r="C214" s="1" t="s">
        <v>2430</v>
      </c>
      <c r="D214" s="1" t="s">
        <v>2431</v>
      </c>
      <c r="E214" s="1" t="s">
        <v>2432</v>
      </c>
      <c r="F214" s="1" t="b">
        <v>1</v>
      </c>
      <c r="G214" s="1">
        <v>74925026670</v>
      </c>
    </row>
    <row r="215" spans="1:7" x14ac:dyDescent="0.25">
      <c r="A215" s="1">
        <v>214</v>
      </c>
      <c r="B215" s="1" t="s">
        <v>2433</v>
      </c>
      <c r="C215" s="1" t="s">
        <v>2434</v>
      </c>
      <c r="D215" s="1" t="s">
        <v>2435</v>
      </c>
      <c r="E215" s="1" t="s">
        <v>2436</v>
      </c>
      <c r="F215" s="1" t="b">
        <v>1</v>
      </c>
      <c r="G215" s="1">
        <v>61087058099</v>
      </c>
    </row>
    <row r="216" spans="1:7" x14ac:dyDescent="0.25">
      <c r="A216" s="1">
        <v>215</v>
      </c>
      <c r="B216" s="1" t="s">
        <v>2437</v>
      </c>
      <c r="C216" s="1" t="s">
        <v>2274</v>
      </c>
      <c r="D216" s="1" t="s">
        <v>2438</v>
      </c>
      <c r="E216" s="1" t="s">
        <v>2439</v>
      </c>
      <c r="F216" s="1" t="b">
        <v>1</v>
      </c>
      <c r="G216" s="1">
        <v>60632106139</v>
      </c>
    </row>
    <row r="217" spans="1:7" x14ac:dyDescent="0.25">
      <c r="A217" s="1">
        <v>216</v>
      </c>
      <c r="B217" s="1" t="s">
        <v>2440</v>
      </c>
      <c r="C217" s="1" t="s">
        <v>1847</v>
      </c>
      <c r="D217" s="1" t="s">
        <v>2441</v>
      </c>
      <c r="E217" s="1" t="s">
        <v>2442</v>
      </c>
      <c r="F217" s="1" t="b">
        <v>1</v>
      </c>
      <c r="G217" s="1">
        <v>45387405936</v>
      </c>
    </row>
    <row r="218" spans="1:7" x14ac:dyDescent="0.25">
      <c r="A218" s="1">
        <v>217</v>
      </c>
      <c r="B218" s="1" t="s">
        <v>2443</v>
      </c>
      <c r="C218" s="1" t="s">
        <v>2444</v>
      </c>
      <c r="D218" s="1" t="s">
        <v>2445</v>
      </c>
      <c r="E218" s="1" t="s">
        <v>2446</v>
      </c>
      <c r="F218" s="1" t="b">
        <v>1</v>
      </c>
      <c r="G218" s="1">
        <v>37163754845</v>
      </c>
    </row>
    <row r="219" spans="1:7" x14ac:dyDescent="0.25">
      <c r="A219" s="1">
        <v>218</v>
      </c>
      <c r="B219" s="1" t="s">
        <v>2447</v>
      </c>
      <c r="C219" s="1" t="s">
        <v>2448</v>
      </c>
      <c r="D219" s="1" t="s">
        <v>2449</v>
      </c>
      <c r="E219" s="1" t="s">
        <v>2450</v>
      </c>
      <c r="F219" s="1" t="b">
        <v>1</v>
      </c>
      <c r="G219" s="1">
        <v>31000032191</v>
      </c>
    </row>
    <row r="220" spans="1:7" x14ac:dyDescent="0.25">
      <c r="A220" s="1">
        <v>219</v>
      </c>
      <c r="B220" s="1" t="s">
        <v>2182</v>
      </c>
      <c r="C220" s="1" t="s">
        <v>2179</v>
      </c>
      <c r="D220" s="1" t="s">
        <v>2482</v>
      </c>
      <c r="E220" t="s">
        <v>2483</v>
      </c>
      <c r="F220" s="1" t="b">
        <v>1</v>
      </c>
      <c r="G220" s="1">
        <v>27691732699</v>
      </c>
    </row>
    <row r="221" spans="1:7" x14ac:dyDescent="0.25">
      <c r="A22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Audits</vt:lpstr>
      <vt:lpstr>Certificates</vt:lpstr>
      <vt:lpstr>Clients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Haydon Bawden</cp:lastModifiedBy>
  <dcterms:created xsi:type="dcterms:W3CDTF">2026-01-11T01:32:27Z</dcterms:created>
  <dcterms:modified xsi:type="dcterms:W3CDTF">2026-05-03T09:18:25Z</dcterms:modified>
</cp:coreProperties>
</file>